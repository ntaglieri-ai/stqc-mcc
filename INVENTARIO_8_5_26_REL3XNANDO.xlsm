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Questa_cartella_di_lavo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C\Desktop\"/>
    </mc:Choice>
  </mc:AlternateContent>
  <xr:revisionPtr revIDLastSave="0" documentId="8_{53F4C9A1-9AB7-45ED-A60D-8DCA27353A99}" xr6:coauthVersionLast="47" xr6:coauthVersionMax="47" xr10:uidLastSave="{00000000-0000-0000-0000-000000000000}"/>
  <bookViews>
    <workbookView xWindow="0" yWindow="0" windowWidth="23040" windowHeight="12360" xr2:uid="{B42AD107-C3FD-4649-9B9A-BFAC20A60739}"/>
  </bookViews>
  <sheets>
    <sheet name="Inventario 8_5_26" sheetId="1" r:id="rId1"/>
    <sheet name="PIVOT" sheetId="3" r:id="rId2"/>
    <sheet name="NOTE" sheetId="4" r:id="rId3"/>
  </sheets>
  <definedNames>
    <definedName name="_xlnm._FilterDatabase" localSheetId="0" hidden="1">'Inventario 8_5_26'!$A$1:$Q$999</definedName>
    <definedName name="_xlnm.Print_Area" localSheetId="1">PIVOT!$A$3:$CS$118</definedName>
    <definedName name="_xlnm.Print_Titles" localSheetId="1">PIVOT!$A:$A,PIVOT!$3:$4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43" i="1" l="1"/>
  <c r="J443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C444" i="1" s="1"/>
  <c r="Q444" i="1" s="1"/>
  <c r="J442" i="1"/>
  <c r="J441" i="1"/>
  <c r="J440" i="1"/>
  <c r="C440" i="1" s="1"/>
  <c r="Q440" i="1" s="1"/>
  <c r="J439" i="1"/>
  <c r="C439" i="1" s="1"/>
  <c r="Q439" i="1" s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4" i="1"/>
  <c r="J425" i="1"/>
  <c r="H425" i="1" s="1"/>
  <c r="J421" i="1"/>
  <c r="J422" i="1"/>
  <c r="J423" i="1"/>
  <c r="Q420" i="1"/>
  <c r="J420" i="1"/>
  <c r="H420" i="1" s="1"/>
  <c r="Q419" i="1"/>
  <c r="J419" i="1"/>
  <c r="H419" i="1" s="1"/>
  <c r="Q418" i="1"/>
  <c r="J418" i="1"/>
  <c r="H418" i="1" s="1"/>
  <c r="Q417" i="1"/>
  <c r="J417" i="1"/>
  <c r="H417" i="1" s="1"/>
  <c r="Q416" i="1"/>
  <c r="J416" i="1"/>
  <c r="H416" i="1" s="1"/>
  <c r="Q415" i="1"/>
  <c r="J415" i="1"/>
  <c r="H415" i="1" s="1"/>
  <c r="Q414" i="1"/>
  <c r="J414" i="1"/>
  <c r="H414" i="1" s="1"/>
  <c r="Q413" i="1"/>
  <c r="J413" i="1"/>
  <c r="H413" i="1" s="1"/>
  <c r="Q412" i="1"/>
  <c r="J412" i="1"/>
  <c r="H412" i="1" s="1"/>
  <c r="Q410" i="1"/>
  <c r="Q409" i="1"/>
  <c r="J410" i="1"/>
  <c r="H410" i="1" s="1"/>
  <c r="J409" i="1"/>
  <c r="H409" i="1" s="1"/>
  <c r="J411" i="1"/>
  <c r="H411" i="1" s="1"/>
  <c r="J408" i="1"/>
  <c r="H408" i="1" s="1"/>
  <c r="J407" i="1"/>
  <c r="H407" i="1" s="1"/>
  <c r="J22" i="1"/>
  <c r="J23" i="1"/>
  <c r="Q22" i="1"/>
  <c r="Q23" i="1"/>
  <c r="Q36" i="1"/>
  <c r="Q37" i="1"/>
  <c r="Q38" i="1"/>
  <c r="Q39" i="1"/>
  <c r="Q40" i="1"/>
  <c r="Q41" i="1"/>
  <c r="Q42" i="1"/>
  <c r="Q43" i="1"/>
  <c r="Q44" i="1"/>
  <c r="Q45" i="1"/>
  <c r="Q46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6" i="1"/>
  <c r="Q367" i="1"/>
  <c r="Q368" i="1"/>
  <c r="Q369" i="1"/>
  <c r="Q370" i="1"/>
  <c r="Q371" i="1"/>
  <c r="Q372" i="1"/>
  <c r="Q373" i="1"/>
  <c r="Q374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21" i="1"/>
  <c r="Q422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41" i="1"/>
  <c r="Q442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H3" i="1"/>
  <c r="H4" i="1"/>
  <c r="H5" i="1"/>
  <c r="H6" i="1"/>
  <c r="H2" i="1"/>
  <c r="H20" i="1"/>
  <c r="H19" i="1"/>
  <c r="H18" i="1"/>
  <c r="H17" i="1"/>
  <c r="H16" i="1"/>
  <c r="H15" i="1"/>
  <c r="H14" i="1"/>
  <c r="H13" i="1"/>
  <c r="H12" i="1"/>
  <c r="H10" i="1"/>
  <c r="H11" i="1"/>
  <c r="H9" i="1"/>
  <c r="H8" i="1"/>
  <c r="H7" i="1"/>
  <c r="J406" i="1"/>
  <c r="H406" i="1" s="1"/>
  <c r="J405" i="1"/>
  <c r="H405" i="1" s="1"/>
  <c r="J404" i="1"/>
  <c r="H404" i="1" s="1"/>
  <c r="J403" i="1"/>
  <c r="H403" i="1" s="1"/>
  <c r="J402" i="1"/>
  <c r="H402" i="1" s="1"/>
  <c r="J401" i="1"/>
  <c r="H401" i="1" s="1"/>
  <c r="J400" i="1"/>
  <c r="H400" i="1" s="1"/>
  <c r="J399" i="1"/>
  <c r="H399" i="1" s="1"/>
  <c r="J398" i="1"/>
  <c r="H398" i="1" s="1"/>
  <c r="J397" i="1"/>
  <c r="H397" i="1" s="1"/>
  <c r="J396" i="1"/>
  <c r="H396" i="1" s="1"/>
  <c r="J395" i="1"/>
  <c r="H395" i="1" s="1"/>
  <c r="J394" i="1"/>
  <c r="H394" i="1" s="1"/>
  <c r="J393" i="1"/>
  <c r="H393" i="1" s="1"/>
  <c r="J392" i="1"/>
  <c r="H392" i="1" s="1"/>
  <c r="J391" i="1"/>
  <c r="H391" i="1" s="1"/>
  <c r="J390" i="1"/>
  <c r="H390" i="1" s="1"/>
  <c r="J389" i="1"/>
  <c r="H389" i="1" s="1"/>
  <c r="J388" i="1"/>
  <c r="H388" i="1" s="1"/>
  <c r="J387" i="1"/>
  <c r="H387" i="1" s="1"/>
  <c r="J386" i="1"/>
  <c r="H386" i="1" s="1"/>
  <c r="J385" i="1"/>
  <c r="H385" i="1" s="1"/>
  <c r="J384" i="1"/>
  <c r="H384" i="1" s="1"/>
  <c r="J383" i="1"/>
  <c r="H383" i="1" s="1"/>
  <c r="J382" i="1"/>
  <c r="H382" i="1" s="1"/>
  <c r="J381" i="1"/>
  <c r="H381" i="1" s="1"/>
  <c r="J380" i="1"/>
  <c r="H380" i="1" s="1"/>
  <c r="J379" i="1"/>
  <c r="H379" i="1" s="1"/>
  <c r="J378" i="1"/>
  <c r="H378" i="1" s="1"/>
  <c r="J377" i="1"/>
  <c r="H377" i="1" s="1"/>
  <c r="J376" i="1"/>
  <c r="H376" i="1" s="1"/>
  <c r="J375" i="1"/>
  <c r="J374" i="1"/>
  <c r="H374" i="1" s="1"/>
  <c r="J373" i="1"/>
  <c r="H373" i="1" s="1"/>
  <c r="J372" i="1"/>
  <c r="H372" i="1" s="1"/>
  <c r="J366" i="1"/>
  <c r="H366" i="1" s="1"/>
  <c r="J367" i="1"/>
  <c r="H367" i="1" s="1"/>
  <c r="J368" i="1"/>
  <c r="H368" i="1" s="1"/>
  <c r="J369" i="1"/>
  <c r="H369" i="1" s="1"/>
  <c r="J370" i="1"/>
  <c r="H370" i="1" s="1"/>
  <c r="J371" i="1"/>
  <c r="H371" i="1" s="1"/>
  <c r="J365" i="1"/>
  <c r="J363" i="1"/>
  <c r="H363" i="1" s="1"/>
  <c r="J364" i="1"/>
  <c r="H364" i="1" s="1"/>
  <c r="J362" i="1"/>
  <c r="H362" i="1" s="1"/>
  <c r="J361" i="1"/>
  <c r="H361" i="1" s="1"/>
  <c r="J360" i="1"/>
  <c r="H360" i="1" s="1"/>
  <c r="J359" i="1"/>
  <c r="H359" i="1" s="1"/>
  <c r="J358" i="1"/>
  <c r="H358" i="1" s="1"/>
  <c r="J357" i="1"/>
  <c r="H357" i="1" s="1"/>
  <c r="J356" i="1"/>
  <c r="H356" i="1" s="1"/>
  <c r="J355" i="1"/>
  <c r="H355" i="1" s="1"/>
  <c r="J354" i="1"/>
  <c r="H354" i="1" s="1"/>
  <c r="J353" i="1"/>
  <c r="H353" i="1" s="1"/>
  <c r="J352" i="1"/>
  <c r="H352" i="1" s="1"/>
  <c r="J351" i="1"/>
  <c r="H351" i="1" s="1"/>
  <c r="J350" i="1"/>
  <c r="H350" i="1" s="1"/>
  <c r="J349" i="1"/>
  <c r="H349" i="1" s="1"/>
  <c r="J348" i="1"/>
  <c r="H348" i="1" s="1"/>
  <c r="J347" i="1"/>
  <c r="H347" i="1" s="1"/>
  <c r="J346" i="1"/>
  <c r="H346" i="1" s="1"/>
  <c r="J345" i="1"/>
  <c r="H345" i="1" s="1"/>
  <c r="J343" i="1"/>
  <c r="H343" i="1" s="1"/>
  <c r="J344" i="1"/>
  <c r="H344" i="1" s="1"/>
  <c r="J342" i="1"/>
  <c r="H342" i="1" s="1"/>
  <c r="J341" i="1"/>
  <c r="H341" i="1" s="1"/>
  <c r="J340" i="1"/>
  <c r="H340" i="1" s="1"/>
  <c r="J339" i="1"/>
  <c r="H339" i="1" s="1"/>
  <c r="J335" i="1"/>
  <c r="H335" i="1" s="1"/>
  <c r="J334" i="1"/>
  <c r="H334" i="1" s="1"/>
  <c r="J333" i="1"/>
  <c r="H333" i="1" s="1"/>
  <c r="J332" i="1"/>
  <c r="H332" i="1" s="1"/>
  <c r="J331" i="1"/>
  <c r="H331" i="1" s="1"/>
  <c r="J330" i="1"/>
  <c r="H330" i="1" s="1"/>
  <c r="J329" i="1"/>
  <c r="H329" i="1" s="1"/>
  <c r="J328" i="1"/>
  <c r="H328" i="1" s="1"/>
  <c r="J327" i="1"/>
  <c r="H327" i="1" s="1"/>
  <c r="J326" i="1"/>
  <c r="H326" i="1" s="1"/>
  <c r="J325" i="1"/>
  <c r="H325" i="1" s="1"/>
  <c r="J324" i="1"/>
  <c r="H324" i="1" s="1"/>
  <c r="J323" i="1"/>
  <c r="H323" i="1" s="1"/>
  <c r="J322" i="1"/>
  <c r="H322" i="1" s="1"/>
  <c r="J321" i="1"/>
  <c r="H321" i="1" s="1"/>
  <c r="J320" i="1"/>
  <c r="H320" i="1" s="1"/>
  <c r="J319" i="1"/>
  <c r="H319" i="1" s="1"/>
  <c r="J318" i="1"/>
  <c r="H318" i="1" s="1"/>
  <c r="J317" i="1"/>
  <c r="H317" i="1" s="1"/>
  <c r="J316" i="1"/>
  <c r="H316" i="1" s="1"/>
  <c r="J315" i="1"/>
  <c r="H315" i="1" s="1"/>
  <c r="J314" i="1"/>
  <c r="H314" i="1" s="1"/>
  <c r="J313" i="1"/>
  <c r="H313" i="1" s="1"/>
  <c r="J312" i="1"/>
  <c r="H312" i="1" s="1"/>
  <c r="J311" i="1"/>
  <c r="H311" i="1" s="1"/>
  <c r="J310" i="1"/>
  <c r="H310" i="1" s="1"/>
  <c r="J309" i="1"/>
  <c r="H309" i="1" s="1"/>
  <c r="J308" i="1"/>
  <c r="H308" i="1" s="1"/>
  <c r="J307" i="1"/>
  <c r="H307" i="1" s="1"/>
  <c r="J306" i="1"/>
  <c r="H306" i="1" s="1"/>
  <c r="J305" i="1"/>
  <c r="H305" i="1" s="1"/>
  <c r="J304" i="1"/>
  <c r="H304" i="1" s="1"/>
  <c r="J303" i="1"/>
  <c r="H303" i="1" s="1"/>
  <c r="J302" i="1"/>
  <c r="H302" i="1" s="1"/>
  <c r="J301" i="1"/>
  <c r="H301" i="1" s="1"/>
  <c r="J300" i="1"/>
  <c r="H300" i="1" s="1"/>
  <c r="J299" i="1"/>
  <c r="H299" i="1" s="1"/>
  <c r="J298" i="1"/>
  <c r="H298" i="1" s="1"/>
  <c r="J297" i="1"/>
  <c r="H297" i="1" s="1"/>
  <c r="J296" i="1"/>
  <c r="H296" i="1" s="1"/>
  <c r="J295" i="1"/>
  <c r="H295" i="1" s="1"/>
  <c r="J294" i="1"/>
  <c r="H294" i="1" s="1"/>
  <c r="J293" i="1"/>
  <c r="H293" i="1" s="1"/>
  <c r="J292" i="1"/>
  <c r="H292" i="1" s="1"/>
  <c r="J290" i="1"/>
  <c r="H290" i="1" s="1"/>
  <c r="J289" i="1"/>
  <c r="H289" i="1" s="1"/>
  <c r="J288" i="1"/>
  <c r="H288" i="1" s="1"/>
  <c r="J287" i="1"/>
  <c r="H287" i="1" s="1"/>
  <c r="J286" i="1"/>
  <c r="H286" i="1" s="1"/>
  <c r="J285" i="1"/>
  <c r="H285" i="1" s="1"/>
  <c r="J291" i="1"/>
  <c r="H291" i="1" s="1"/>
  <c r="J284" i="1"/>
  <c r="H284" i="1" s="1"/>
  <c r="J283" i="1"/>
  <c r="H283" i="1" s="1"/>
  <c r="J282" i="1"/>
  <c r="H282" i="1" s="1"/>
  <c r="J281" i="1"/>
  <c r="H281" i="1" s="1"/>
  <c r="J280" i="1"/>
  <c r="H280" i="1" s="1"/>
  <c r="J279" i="1"/>
  <c r="H279" i="1" s="1"/>
  <c r="J278" i="1"/>
  <c r="H278" i="1" s="1"/>
  <c r="J277" i="1"/>
  <c r="H277" i="1" s="1"/>
  <c r="J276" i="1"/>
  <c r="H276" i="1" s="1"/>
  <c r="J275" i="1"/>
  <c r="H275" i="1" s="1"/>
  <c r="J274" i="1"/>
  <c r="H274" i="1" s="1"/>
  <c r="J273" i="1"/>
  <c r="H273" i="1" s="1"/>
  <c r="J272" i="1"/>
  <c r="H272" i="1" s="1"/>
  <c r="J271" i="1"/>
  <c r="H271" i="1" s="1"/>
  <c r="J270" i="1"/>
  <c r="H270" i="1" s="1"/>
  <c r="J269" i="1"/>
  <c r="H269" i="1" s="1"/>
  <c r="J268" i="1"/>
  <c r="H268" i="1" s="1"/>
  <c r="J267" i="1"/>
  <c r="H267" i="1" s="1"/>
  <c r="J266" i="1"/>
  <c r="H266" i="1" s="1"/>
  <c r="J265" i="1"/>
  <c r="H265" i="1" s="1"/>
  <c r="J264" i="1"/>
  <c r="H264" i="1" s="1"/>
  <c r="J263" i="1"/>
  <c r="H263" i="1" s="1"/>
  <c r="J262" i="1"/>
  <c r="H262" i="1" s="1"/>
  <c r="J261" i="1"/>
  <c r="H261" i="1" s="1"/>
  <c r="J260" i="1"/>
  <c r="H260" i="1" s="1"/>
  <c r="J259" i="1"/>
  <c r="H259" i="1" s="1"/>
  <c r="J258" i="1"/>
  <c r="H258" i="1" s="1"/>
  <c r="J257" i="1"/>
  <c r="H257" i="1" s="1"/>
  <c r="J256" i="1"/>
  <c r="H256" i="1" s="1"/>
  <c r="J255" i="1"/>
  <c r="H255" i="1" s="1"/>
  <c r="J254" i="1"/>
  <c r="H254" i="1" s="1"/>
  <c r="J253" i="1"/>
  <c r="H253" i="1" s="1"/>
  <c r="J252" i="1"/>
  <c r="H252" i="1" s="1"/>
  <c r="J251" i="1"/>
  <c r="H251" i="1" s="1"/>
  <c r="J250" i="1"/>
  <c r="H250" i="1" s="1"/>
  <c r="J249" i="1"/>
  <c r="H249" i="1" s="1"/>
  <c r="J248" i="1"/>
  <c r="H248" i="1" s="1"/>
  <c r="J247" i="1"/>
  <c r="H247" i="1" s="1"/>
  <c r="J246" i="1"/>
  <c r="H246" i="1" s="1"/>
  <c r="J245" i="1"/>
  <c r="H245" i="1" s="1"/>
  <c r="J244" i="1"/>
  <c r="H244" i="1" s="1"/>
  <c r="J243" i="1"/>
  <c r="H243" i="1" s="1"/>
  <c r="J242" i="1"/>
  <c r="H242" i="1" s="1"/>
  <c r="J241" i="1"/>
  <c r="H241" i="1" s="1"/>
  <c r="J240" i="1"/>
  <c r="H240" i="1" s="1"/>
  <c r="J239" i="1"/>
  <c r="H239" i="1" s="1"/>
  <c r="J238" i="1"/>
  <c r="H238" i="1" s="1"/>
  <c r="J237" i="1"/>
  <c r="H237" i="1" s="1"/>
  <c r="J236" i="1"/>
  <c r="H236" i="1" s="1"/>
  <c r="J235" i="1"/>
  <c r="H235" i="1" s="1"/>
  <c r="J234" i="1"/>
  <c r="H234" i="1" s="1"/>
  <c r="J233" i="1"/>
  <c r="H233" i="1" s="1"/>
  <c r="J232" i="1"/>
  <c r="H232" i="1" s="1"/>
  <c r="J231" i="1"/>
  <c r="H231" i="1" s="1"/>
  <c r="J230" i="1"/>
  <c r="H230" i="1" s="1"/>
  <c r="J229" i="1"/>
  <c r="H229" i="1" s="1"/>
  <c r="J228" i="1"/>
  <c r="H228" i="1" s="1"/>
  <c r="J227" i="1"/>
  <c r="H227" i="1" s="1"/>
  <c r="J226" i="1"/>
  <c r="H226" i="1" s="1"/>
  <c r="J225" i="1"/>
  <c r="H225" i="1" s="1"/>
  <c r="J224" i="1"/>
  <c r="H224" i="1" s="1"/>
  <c r="J223" i="1"/>
  <c r="H223" i="1" s="1"/>
  <c r="J222" i="1"/>
  <c r="H222" i="1" s="1"/>
  <c r="J221" i="1"/>
  <c r="H221" i="1" s="1"/>
  <c r="J220" i="1"/>
  <c r="H220" i="1" s="1"/>
  <c r="J219" i="1"/>
  <c r="H219" i="1" s="1"/>
  <c r="J218" i="1"/>
  <c r="H218" i="1" s="1"/>
  <c r="J217" i="1"/>
  <c r="H217" i="1" s="1"/>
  <c r="J216" i="1"/>
  <c r="H216" i="1" s="1"/>
  <c r="J215" i="1"/>
  <c r="H215" i="1" s="1"/>
  <c r="J214" i="1"/>
  <c r="H214" i="1" s="1"/>
  <c r="J213" i="1"/>
  <c r="H213" i="1" s="1"/>
  <c r="J212" i="1"/>
  <c r="H212" i="1" s="1"/>
  <c r="J211" i="1"/>
  <c r="H211" i="1" s="1"/>
  <c r="J210" i="1"/>
  <c r="H210" i="1" s="1"/>
  <c r="J209" i="1"/>
  <c r="H209" i="1" s="1"/>
  <c r="J208" i="1"/>
  <c r="H208" i="1" s="1"/>
  <c r="J207" i="1"/>
  <c r="H207" i="1" s="1"/>
  <c r="J206" i="1"/>
  <c r="H206" i="1" s="1"/>
  <c r="J205" i="1"/>
  <c r="H205" i="1" s="1"/>
  <c r="J204" i="1"/>
  <c r="H204" i="1" s="1"/>
  <c r="J203" i="1"/>
  <c r="H203" i="1" s="1"/>
  <c r="J202" i="1"/>
  <c r="H202" i="1" s="1"/>
  <c r="J201" i="1"/>
  <c r="H201" i="1" s="1"/>
  <c r="J200" i="1"/>
  <c r="H200" i="1" s="1"/>
  <c r="J199" i="1"/>
  <c r="H199" i="1" s="1"/>
  <c r="J198" i="1"/>
  <c r="H198" i="1" s="1"/>
  <c r="J197" i="1"/>
  <c r="H197" i="1" s="1"/>
  <c r="J196" i="1"/>
  <c r="H196" i="1" s="1"/>
  <c r="J195" i="1"/>
  <c r="H195" i="1" s="1"/>
  <c r="J194" i="1"/>
  <c r="H194" i="1" s="1"/>
  <c r="J193" i="1"/>
  <c r="H193" i="1" s="1"/>
  <c r="J192" i="1"/>
  <c r="H192" i="1" s="1"/>
  <c r="J191" i="1"/>
  <c r="H191" i="1" s="1"/>
  <c r="J190" i="1"/>
  <c r="H190" i="1" s="1"/>
  <c r="J189" i="1"/>
  <c r="H189" i="1" s="1"/>
  <c r="J188" i="1"/>
  <c r="H188" i="1" s="1"/>
  <c r="J187" i="1"/>
  <c r="H187" i="1" s="1"/>
  <c r="J186" i="1"/>
  <c r="H186" i="1" s="1"/>
  <c r="J185" i="1"/>
  <c r="H185" i="1" s="1"/>
  <c r="J184" i="1"/>
  <c r="H184" i="1" s="1"/>
  <c r="J183" i="1"/>
  <c r="H183" i="1" s="1"/>
  <c r="J182" i="1"/>
  <c r="H182" i="1" s="1"/>
  <c r="J181" i="1"/>
  <c r="H181" i="1" s="1"/>
  <c r="J180" i="1"/>
  <c r="H180" i="1" s="1"/>
  <c r="J179" i="1"/>
  <c r="H179" i="1" s="1"/>
  <c r="J178" i="1"/>
  <c r="H178" i="1" s="1"/>
  <c r="J177" i="1"/>
  <c r="H177" i="1" s="1"/>
  <c r="J176" i="1"/>
  <c r="H176" i="1" s="1"/>
  <c r="J175" i="1"/>
  <c r="H175" i="1" s="1"/>
  <c r="J174" i="1"/>
  <c r="H174" i="1" s="1"/>
  <c r="J173" i="1"/>
  <c r="H173" i="1" s="1"/>
  <c r="J172" i="1"/>
  <c r="H172" i="1" s="1"/>
  <c r="J171" i="1"/>
  <c r="H171" i="1" s="1"/>
  <c r="J170" i="1"/>
  <c r="H170" i="1" s="1"/>
  <c r="J169" i="1"/>
  <c r="H169" i="1" s="1"/>
  <c r="J168" i="1"/>
  <c r="H168" i="1" s="1"/>
  <c r="J167" i="1"/>
  <c r="H167" i="1" s="1"/>
  <c r="J166" i="1"/>
  <c r="H166" i="1" s="1"/>
  <c r="J165" i="1"/>
  <c r="H165" i="1" s="1"/>
  <c r="J164" i="1"/>
  <c r="H164" i="1" s="1"/>
  <c r="J163" i="1"/>
  <c r="H163" i="1" s="1"/>
  <c r="J162" i="1"/>
  <c r="H162" i="1" s="1"/>
  <c r="J161" i="1"/>
  <c r="H161" i="1" s="1"/>
  <c r="J160" i="1"/>
  <c r="H160" i="1" s="1"/>
  <c r="J159" i="1"/>
  <c r="H159" i="1" s="1"/>
  <c r="J158" i="1"/>
  <c r="H158" i="1" s="1"/>
  <c r="J157" i="1"/>
  <c r="H157" i="1" s="1"/>
  <c r="J156" i="1"/>
  <c r="H156" i="1" s="1"/>
  <c r="J155" i="1"/>
  <c r="H155" i="1" s="1"/>
  <c r="J154" i="1"/>
  <c r="H154" i="1" s="1"/>
  <c r="J153" i="1"/>
  <c r="H153" i="1" s="1"/>
  <c r="J152" i="1"/>
  <c r="H152" i="1" s="1"/>
  <c r="J151" i="1"/>
  <c r="H151" i="1" s="1"/>
  <c r="J150" i="1"/>
  <c r="H150" i="1" s="1"/>
  <c r="J149" i="1"/>
  <c r="H149" i="1" s="1"/>
  <c r="J148" i="1"/>
  <c r="H148" i="1" s="1"/>
  <c r="J147" i="1"/>
  <c r="H147" i="1" s="1"/>
  <c r="J146" i="1"/>
  <c r="H146" i="1" s="1"/>
  <c r="J145" i="1"/>
  <c r="H145" i="1" s="1"/>
  <c r="J144" i="1"/>
  <c r="H144" i="1" s="1"/>
  <c r="J143" i="1"/>
  <c r="H143" i="1" s="1"/>
  <c r="J142" i="1"/>
  <c r="H142" i="1" s="1"/>
  <c r="J141" i="1"/>
  <c r="H141" i="1" s="1"/>
  <c r="J140" i="1"/>
  <c r="H140" i="1" s="1"/>
  <c r="J139" i="1"/>
  <c r="H139" i="1" s="1"/>
  <c r="J138" i="1"/>
  <c r="H138" i="1" s="1"/>
  <c r="J137" i="1"/>
  <c r="H137" i="1" s="1"/>
  <c r="J136" i="1"/>
  <c r="H136" i="1" s="1"/>
  <c r="J135" i="1"/>
  <c r="H135" i="1" s="1"/>
  <c r="J134" i="1"/>
  <c r="H134" i="1" s="1"/>
  <c r="J133" i="1"/>
  <c r="H133" i="1" s="1"/>
  <c r="J132" i="1"/>
  <c r="H132" i="1" s="1"/>
  <c r="J131" i="1"/>
  <c r="H131" i="1" s="1"/>
  <c r="J130" i="1"/>
  <c r="H130" i="1" s="1"/>
  <c r="J129" i="1"/>
  <c r="H129" i="1" s="1"/>
  <c r="J128" i="1"/>
  <c r="H128" i="1" s="1"/>
  <c r="J127" i="1"/>
  <c r="H127" i="1" s="1"/>
  <c r="J126" i="1"/>
  <c r="H126" i="1" s="1"/>
  <c r="J125" i="1"/>
  <c r="H125" i="1" s="1"/>
  <c r="J124" i="1"/>
  <c r="H124" i="1" s="1"/>
  <c r="J123" i="1"/>
  <c r="H123" i="1" s="1"/>
  <c r="J122" i="1"/>
  <c r="H122" i="1" s="1"/>
  <c r="J121" i="1"/>
  <c r="H121" i="1" s="1"/>
  <c r="J120" i="1"/>
  <c r="H120" i="1" s="1"/>
  <c r="J119" i="1"/>
  <c r="H119" i="1" s="1"/>
  <c r="J118" i="1"/>
  <c r="H118" i="1" s="1"/>
  <c r="J117" i="1"/>
  <c r="H117" i="1" s="1"/>
  <c r="J116" i="1"/>
  <c r="H116" i="1" s="1"/>
  <c r="J115" i="1"/>
  <c r="H115" i="1" s="1"/>
  <c r="J114" i="1"/>
  <c r="H114" i="1" s="1"/>
  <c r="J113" i="1"/>
  <c r="H113" i="1" s="1"/>
  <c r="J112" i="1"/>
  <c r="H112" i="1" s="1"/>
  <c r="J111" i="1"/>
  <c r="H111" i="1" s="1"/>
  <c r="J110" i="1"/>
  <c r="H110" i="1" s="1"/>
  <c r="J109" i="1"/>
  <c r="H109" i="1" s="1"/>
  <c r="J108" i="1"/>
  <c r="H108" i="1" s="1"/>
  <c r="J107" i="1"/>
  <c r="H107" i="1" s="1"/>
  <c r="J106" i="1"/>
  <c r="H106" i="1" s="1"/>
  <c r="J105" i="1"/>
  <c r="H105" i="1" s="1"/>
  <c r="J104" i="1"/>
  <c r="H104" i="1" s="1"/>
  <c r="J103" i="1"/>
  <c r="H103" i="1" s="1"/>
  <c r="J102" i="1"/>
  <c r="H102" i="1" s="1"/>
  <c r="J101" i="1"/>
  <c r="H101" i="1" s="1"/>
  <c r="J100" i="1"/>
  <c r="H100" i="1" s="1"/>
  <c r="J99" i="1"/>
  <c r="H99" i="1" s="1"/>
  <c r="J98" i="1"/>
  <c r="H98" i="1" s="1"/>
  <c r="J97" i="1"/>
  <c r="H97" i="1" s="1"/>
  <c r="J96" i="1"/>
  <c r="H96" i="1" s="1"/>
  <c r="J95" i="1"/>
  <c r="H95" i="1" s="1"/>
  <c r="J94" i="1"/>
  <c r="H94" i="1" s="1"/>
  <c r="J93" i="1"/>
  <c r="H93" i="1" s="1"/>
  <c r="J92" i="1"/>
  <c r="H92" i="1" s="1"/>
  <c r="J91" i="1"/>
  <c r="H91" i="1" s="1"/>
  <c r="J90" i="1"/>
  <c r="H90" i="1" s="1"/>
  <c r="J89" i="1"/>
  <c r="H89" i="1" s="1"/>
  <c r="J88" i="1"/>
  <c r="H88" i="1" s="1"/>
  <c r="J87" i="1"/>
  <c r="H87" i="1" s="1"/>
  <c r="J86" i="1"/>
  <c r="H86" i="1" s="1"/>
  <c r="J85" i="1"/>
  <c r="H85" i="1" s="1"/>
  <c r="J84" i="1"/>
  <c r="H84" i="1" s="1"/>
  <c r="J83" i="1"/>
  <c r="H83" i="1" s="1"/>
  <c r="J82" i="1"/>
  <c r="H82" i="1" s="1"/>
  <c r="J81" i="1"/>
  <c r="H81" i="1" s="1"/>
  <c r="J80" i="1"/>
  <c r="H80" i="1" s="1"/>
  <c r="J79" i="1"/>
  <c r="H79" i="1" s="1"/>
  <c r="J78" i="1"/>
  <c r="H78" i="1" s="1"/>
  <c r="J77" i="1"/>
  <c r="H77" i="1" s="1"/>
  <c r="J76" i="1"/>
  <c r="H76" i="1" s="1"/>
  <c r="J75" i="1"/>
  <c r="H75" i="1" s="1"/>
  <c r="J74" i="1"/>
  <c r="H74" i="1" s="1"/>
  <c r="J73" i="1"/>
  <c r="H73" i="1" s="1"/>
  <c r="J72" i="1"/>
  <c r="H72" i="1" s="1"/>
  <c r="J71" i="1"/>
  <c r="H71" i="1" s="1"/>
  <c r="J70" i="1"/>
  <c r="H70" i="1" s="1"/>
  <c r="J69" i="1"/>
  <c r="H69" i="1" s="1"/>
  <c r="J68" i="1"/>
  <c r="H68" i="1" s="1"/>
  <c r="J67" i="1"/>
  <c r="H67" i="1" s="1"/>
  <c r="J61" i="1"/>
  <c r="H61" i="1" s="1"/>
  <c r="J62" i="1"/>
  <c r="H62" i="1" s="1"/>
  <c r="J63" i="1"/>
  <c r="H63" i="1" s="1"/>
  <c r="J64" i="1"/>
  <c r="H64" i="1" s="1"/>
  <c r="J65" i="1"/>
  <c r="H65" i="1" s="1"/>
  <c r="J60" i="1"/>
  <c r="H60" i="1" s="1"/>
  <c r="J58" i="1"/>
  <c r="H58" i="1" s="1"/>
  <c r="J59" i="1"/>
  <c r="H59" i="1" s="1"/>
  <c r="J55" i="1"/>
  <c r="H55" i="1" s="1"/>
  <c r="J56" i="1"/>
  <c r="H56" i="1" s="1"/>
  <c r="J57" i="1"/>
  <c r="H57" i="1" s="1"/>
  <c r="J54" i="1"/>
  <c r="H54" i="1" s="1"/>
  <c r="J53" i="1"/>
  <c r="H53" i="1" s="1"/>
  <c r="J52" i="1"/>
  <c r="H52" i="1" s="1"/>
  <c r="J51" i="1"/>
  <c r="H51" i="1" s="1"/>
  <c r="J49" i="1"/>
  <c r="H49" i="1" s="1"/>
  <c r="J50" i="1"/>
  <c r="H50" i="1" s="1"/>
  <c r="J48" i="1"/>
  <c r="H48" i="1" s="1"/>
  <c r="J46" i="1"/>
  <c r="H46" i="1" s="1"/>
  <c r="J45" i="1"/>
  <c r="H45" i="1" s="1"/>
  <c r="J42" i="1"/>
  <c r="H42" i="1" s="1"/>
  <c r="J44" i="1"/>
  <c r="H44" i="1" s="1"/>
  <c r="J43" i="1"/>
  <c r="H43" i="1" s="1"/>
  <c r="J41" i="1"/>
  <c r="H41" i="1" s="1"/>
  <c r="J40" i="1"/>
  <c r="H40" i="1" s="1"/>
  <c r="J39" i="1"/>
  <c r="H39" i="1" s="1"/>
  <c r="J38" i="1"/>
  <c r="H38" i="1" s="1"/>
  <c r="J37" i="1"/>
  <c r="H37" i="1" s="1"/>
  <c r="J36" i="1"/>
  <c r="H36" i="1" s="1"/>
  <c r="J26" i="1"/>
  <c r="C26" i="1" s="1"/>
  <c r="Q26" i="1" s="1"/>
  <c r="J25" i="1"/>
  <c r="C25" i="1" s="1"/>
  <c r="Q25" i="1" s="1"/>
  <c r="J24" i="1"/>
  <c r="C24" i="1" s="1"/>
  <c r="Q24" i="1" s="1"/>
  <c r="J66" i="1"/>
  <c r="C66" i="1" s="1"/>
  <c r="Q66" i="1" s="1"/>
  <c r="J47" i="1"/>
  <c r="C47" i="1" s="1"/>
  <c r="Q47" i="1" s="1"/>
  <c r="J35" i="1"/>
  <c r="C35" i="1" s="1"/>
  <c r="Q35" i="1" s="1"/>
  <c r="J34" i="1"/>
  <c r="J33" i="1"/>
  <c r="C33" i="1" s="1"/>
  <c r="Q33" i="1" s="1"/>
  <c r="J32" i="1"/>
  <c r="C32" i="1" s="1"/>
  <c r="Q32" i="1" s="1"/>
  <c r="J31" i="1"/>
  <c r="C31" i="1" s="1"/>
  <c r="Q31" i="1" s="1"/>
  <c r="J30" i="1"/>
  <c r="C30" i="1" s="1"/>
  <c r="Q30" i="1" s="1"/>
  <c r="J29" i="1"/>
  <c r="C29" i="1" s="1"/>
  <c r="Q29" i="1" s="1"/>
  <c r="J28" i="1"/>
  <c r="C28" i="1" s="1"/>
  <c r="Q28" i="1" s="1"/>
  <c r="J27" i="1"/>
  <c r="C27" i="1" s="1"/>
  <c r="Q27" i="1" s="1"/>
  <c r="C34" i="1"/>
  <c r="Q34" i="1" s="1"/>
  <c r="J21" i="1"/>
  <c r="C21" i="1" s="1"/>
  <c r="Q21" i="1" s="1"/>
  <c r="C375" i="1"/>
  <c r="Q375" i="1" s="1"/>
  <c r="C365" i="1"/>
  <c r="Q365" i="1" s="1"/>
  <c r="Q423" i="1" l="1"/>
  <c r="H423" i="1"/>
  <c r="C443" i="1"/>
  <c r="Q443" i="1" s="1"/>
  <c r="H375" i="1"/>
  <c r="H36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D.dimassimo</author>
  </authors>
  <commentList>
    <comment ref="N1" authorId="0" shapeId="0" xr:uid="{4EF1C909-B8C1-4DC3-9C19-EAFDA6E694A7}">
      <text>
        <r>
          <rPr>
            <b/>
            <sz val="9"/>
            <color indexed="81"/>
            <rFont val="Tahoma"/>
            <family val="2"/>
          </rPr>
          <t>D.dimassimo:</t>
        </r>
        <r>
          <rPr>
            <sz val="9"/>
            <color indexed="81"/>
            <rFont val="Tahoma"/>
            <family val="2"/>
          </rPr>
          <t xml:space="preserve">
INSERIRE N DI DDT OPPURE INDICARE SE SI TRATTA DI RESIDUO DA TAGLIO</t>
        </r>
      </text>
    </comment>
    <comment ref="O1" authorId="0" shapeId="0" xr:uid="{960C9EA8-70F8-494A-B67A-B9ACB5F265D6}">
      <text>
        <r>
          <rPr>
            <b/>
            <sz val="9"/>
            <color indexed="81"/>
            <rFont val="Tahoma"/>
            <family val="2"/>
          </rPr>
          <t>D.dimassimo:</t>
        </r>
        <r>
          <rPr>
            <sz val="9"/>
            <color indexed="81"/>
            <rFont val="Tahoma"/>
            <family val="2"/>
          </rPr>
          <t xml:space="preserve">
INSERIRE DATA DI ARRIVO OPPURE DATA PRODUZIONE RESIDUO</t>
        </r>
      </text>
    </comment>
  </commentList>
</comments>
</file>

<file path=xl/sharedStrings.xml><?xml version="1.0" encoding="utf-8"?>
<sst xmlns="http://schemas.openxmlformats.org/spreadsheetml/2006/main" count="1449" uniqueCount="244">
  <si>
    <t>TIPO</t>
  </si>
  <si>
    <t>PROFILO</t>
  </si>
  <si>
    <t>N° PEZZI</t>
  </si>
  <si>
    <t>QUALITA'</t>
  </si>
  <si>
    <t>COLATA</t>
  </si>
  <si>
    <t>IPE 100</t>
  </si>
  <si>
    <t>HEB 240</t>
  </si>
  <si>
    <t>HEB 280</t>
  </si>
  <si>
    <t>HEB 300</t>
  </si>
  <si>
    <t>HEA 240</t>
  </si>
  <si>
    <t>UNP 220</t>
  </si>
  <si>
    <t>HEB 180</t>
  </si>
  <si>
    <t>S275</t>
  </si>
  <si>
    <t>S355J0</t>
  </si>
  <si>
    <t>HEA 280</t>
  </si>
  <si>
    <t>DUF155874</t>
  </si>
  <si>
    <t>COMMESSA</t>
  </si>
  <si>
    <t>25_60</t>
  </si>
  <si>
    <t>25_58</t>
  </si>
  <si>
    <t>S355J2</t>
  </si>
  <si>
    <t>S275J2</t>
  </si>
  <si>
    <t>CE259577</t>
  </si>
  <si>
    <t>UNP220</t>
  </si>
  <si>
    <t>HEA 180</t>
  </si>
  <si>
    <t>UNP 140</t>
  </si>
  <si>
    <t>157311A</t>
  </si>
  <si>
    <t>UNP 180</t>
  </si>
  <si>
    <t>158343A</t>
  </si>
  <si>
    <t>UNP160</t>
  </si>
  <si>
    <t>HEA 160</t>
  </si>
  <si>
    <t>HEA 200</t>
  </si>
  <si>
    <t>IPE 180</t>
  </si>
  <si>
    <t>UNP 100</t>
  </si>
  <si>
    <t>S355</t>
  </si>
  <si>
    <t>UNP 80</t>
  </si>
  <si>
    <t>IPE 330</t>
  </si>
  <si>
    <t>DUF155384</t>
  </si>
  <si>
    <t>UNP 160</t>
  </si>
  <si>
    <t xml:space="preserve">PAGINA </t>
  </si>
  <si>
    <t>IPE 240</t>
  </si>
  <si>
    <t>HEA 320</t>
  </si>
  <si>
    <t>HEA 220</t>
  </si>
  <si>
    <t>S275J0</t>
  </si>
  <si>
    <t>21/04/26</t>
  </si>
  <si>
    <t>IPE 220</t>
  </si>
  <si>
    <t>154708-A</t>
  </si>
  <si>
    <t>25_50</t>
  </si>
  <si>
    <t>IPE 300</t>
  </si>
  <si>
    <t>DUF155442</t>
  </si>
  <si>
    <t>25_53</t>
  </si>
  <si>
    <t>UNP 200</t>
  </si>
  <si>
    <t>HEA 140</t>
  </si>
  <si>
    <t>IPE 200</t>
  </si>
  <si>
    <t>HEA 120</t>
  </si>
  <si>
    <t>1545141A</t>
  </si>
  <si>
    <t>HEB 220</t>
  </si>
  <si>
    <t>IPE 160</t>
  </si>
  <si>
    <t>IPE 270</t>
  </si>
  <si>
    <t>IPE 140</t>
  </si>
  <si>
    <t>TPP153612A</t>
  </si>
  <si>
    <t>BE233566</t>
  </si>
  <si>
    <t>HEB 800</t>
  </si>
  <si>
    <t>O4556</t>
  </si>
  <si>
    <t>UNP 120</t>
  </si>
  <si>
    <t>S275JR</t>
  </si>
  <si>
    <t>BE231568</t>
  </si>
  <si>
    <t>HEA 300</t>
  </si>
  <si>
    <t>UNP 300</t>
  </si>
  <si>
    <t>HEM 120</t>
  </si>
  <si>
    <t>HEM 140</t>
  </si>
  <si>
    <t>HEB 160</t>
  </si>
  <si>
    <t>HEB 140</t>
  </si>
  <si>
    <t>HEB 500</t>
  </si>
  <si>
    <t>HEB 200</t>
  </si>
  <si>
    <t>HEB 400</t>
  </si>
  <si>
    <t>HEB 340</t>
  </si>
  <si>
    <t>S355JR</t>
  </si>
  <si>
    <t>HEB 320</t>
  </si>
  <si>
    <t>94891A</t>
  </si>
  <si>
    <t>IPE 450</t>
  </si>
  <si>
    <t>IPE 120</t>
  </si>
  <si>
    <t>UNP 240</t>
  </si>
  <si>
    <t>HEA 100</t>
  </si>
  <si>
    <t xml:space="preserve">UNP 180 </t>
  </si>
  <si>
    <t>148783A</t>
  </si>
  <si>
    <t>UNP 280</t>
  </si>
  <si>
    <t>IPE 400</t>
  </si>
  <si>
    <t>39669-39670-39676</t>
  </si>
  <si>
    <t>BE231237</t>
  </si>
  <si>
    <t>09708</t>
  </si>
  <si>
    <t>09094-09097</t>
  </si>
  <si>
    <t>066761-85132</t>
  </si>
  <si>
    <t>09132-09139</t>
  </si>
  <si>
    <t>05459</t>
  </si>
  <si>
    <t>05458</t>
  </si>
  <si>
    <t>06761</t>
  </si>
  <si>
    <t>HEB 450</t>
  </si>
  <si>
    <t>IPE 360</t>
  </si>
  <si>
    <t>UNP 350</t>
  </si>
  <si>
    <t>HEA 260</t>
  </si>
  <si>
    <t>08143A</t>
  </si>
  <si>
    <t>5517B</t>
  </si>
  <si>
    <t>HEB 120</t>
  </si>
  <si>
    <t>UNP 400</t>
  </si>
  <si>
    <t>HEM 300</t>
  </si>
  <si>
    <t>HEA 450</t>
  </si>
  <si>
    <t>HEA 600</t>
  </si>
  <si>
    <t>HEB 600</t>
  </si>
  <si>
    <t>HEM 600</t>
  </si>
  <si>
    <t>BE234873</t>
  </si>
  <si>
    <t>PESO [KG]</t>
  </si>
  <si>
    <t>DAN. 1</t>
  </si>
  <si>
    <t>BE244037</t>
  </si>
  <si>
    <t>BE233714</t>
  </si>
  <si>
    <t>CORTEN</t>
  </si>
  <si>
    <t>L 80X60X8</t>
  </si>
  <si>
    <t>BE230422</t>
  </si>
  <si>
    <t>DAN. 2</t>
  </si>
  <si>
    <t>26_04</t>
  </si>
  <si>
    <t>BE234900</t>
  </si>
  <si>
    <t>BE233644</t>
  </si>
  <si>
    <t>BE232019</t>
  </si>
  <si>
    <t>BE232020</t>
  </si>
  <si>
    <t>BE230651</t>
  </si>
  <si>
    <t>BE231621</t>
  </si>
  <si>
    <t>BE235562</t>
  </si>
  <si>
    <t>BE228037</t>
  </si>
  <si>
    <t>BE234037</t>
  </si>
  <si>
    <t>DAN. 3</t>
  </si>
  <si>
    <t>TT 48X3</t>
  </si>
  <si>
    <t>S235</t>
  </si>
  <si>
    <t>TT 60X3</t>
  </si>
  <si>
    <t>TT 26,9X3</t>
  </si>
  <si>
    <t>TQ 120X120X5</t>
  </si>
  <si>
    <t>TQ 60X60X3</t>
  </si>
  <si>
    <t>ZINCATO</t>
  </si>
  <si>
    <t>TQ 120X120X3</t>
  </si>
  <si>
    <t>TR 100X50X3</t>
  </si>
  <si>
    <t>TR 60X40X2</t>
  </si>
  <si>
    <t>TQ 40X40X3</t>
  </si>
  <si>
    <t>TQ 100X100X3</t>
  </si>
  <si>
    <t>TR 120X60X3</t>
  </si>
  <si>
    <t>TR 80X40X3</t>
  </si>
  <si>
    <t>TQ 100X100X4</t>
  </si>
  <si>
    <t>25F004960</t>
  </si>
  <si>
    <t>SCATOLATI/ANGOLARI</t>
  </si>
  <si>
    <t>TRAVI</t>
  </si>
  <si>
    <t>LAMIERA</t>
  </si>
  <si>
    <t>200/10</t>
  </si>
  <si>
    <t>150/10</t>
  </si>
  <si>
    <t>120/10</t>
  </si>
  <si>
    <t>100/10</t>
  </si>
  <si>
    <t>80/10</t>
  </si>
  <si>
    <t>60/10</t>
  </si>
  <si>
    <t>50/10</t>
  </si>
  <si>
    <t>40/10</t>
  </si>
  <si>
    <t>30/10</t>
  </si>
  <si>
    <t>20/10</t>
  </si>
  <si>
    <t>15/10</t>
  </si>
  <si>
    <t>NERO/GRIGIA</t>
  </si>
  <si>
    <t>RAL 9002</t>
  </si>
  <si>
    <t>RAL 9006</t>
  </si>
  <si>
    <t>MASSIMO</t>
  </si>
  <si>
    <t>PESO 1 PZ</t>
  </si>
  <si>
    <t>TT 219,1X10</t>
  </si>
  <si>
    <t>DIMENSIONI</t>
  </si>
  <si>
    <t>3000*1500</t>
  </si>
  <si>
    <t>PESO/U [KG]</t>
  </si>
  <si>
    <t>Etichette di riga</t>
  </si>
  <si>
    <t>Totale complessivo</t>
  </si>
  <si>
    <t>(vuoto)</t>
  </si>
  <si>
    <t>Etichette di colonna</t>
  </si>
  <si>
    <t>DATA PRELIEVO</t>
  </si>
  <si>
    <t>Q.TA' PRELIEVO</t>
  </si>
  <si>
    <t>DATA ARRIVO</t>
  </si>
  <si>
    <t>AGGIORNAMENTO:</t>
  </si>
  <si>
    <t>N° PEZZI ATTUALE</t>
  </si>
  <si>
    <t>DDT O RESIDUO</t>
  </si>
  <si>
    <t>Q.TA' ARRIVATA O RESIDUO</t>
  </si>
  <si>
    <t>MAG</t>
  </si>
  <si>
    <t>COR TEN</t>
  </si>
  <si>
    <t>PIATTI</t>
  </si>
  <si>
    <t>RESIDUO</t>
  </si>
  <si>
    <t>ANG 100X10</t>
  </si>
  <si>
    <t>ANG 100X12</t>
  </si>
  <si>
    <t>ANG 100X8</t>
  </si>
  <si>
    <t>ANG 120X10</t>
  </si>
  <si>
    <t>ANG 120X12</t>
  </si>
  <si>
    <t>ANG 120X15</t>
  </si>
  <si>
    <t>ANG 150X15</t>
  </si>
  <si>
    <t>ANG 40X4</t>
  </si>
  <si>
    <t>ANG 60X5</t>
  </si>
  <si>
    <t>ANG 60X6</t>
  </si>
  <si>
    <t>ANG 70X6</t>
  </si>
  <si>
    <t>ANG 70X7</t>
  </si>
  <si>
    <t>ANG 80X10</t>
  </si>
  <si>
    <t>ANG 80X8</t>
  </si>
  <si>
    <t>ANG 90X9</t>
  </si>
  <si>
    <t>350X30</t>
  </si>
  <si>
    <t>residuo</t>
  </si>
  <si>
    <t>CE261534</t>
  </si>
  <si>
    <t>CE261542</t>
  </si>
  <si>
    <t>25-50</t>
  </si>
  <si>
    <t>COMM26-04</t>
  </si>
  <si>
    <t>CE638891</t>
  </si>
  <si>
    <t>ddt12628</t>
  </si>
  <si>
    <t>TR 40X30X3</t>
  </si>
  <si>
    <t>150X5</t>
  </si>
  <si>
    <t>TONDO</t>
  </si>
  <si>
    <t>Ø 12</t>
  </si>
  <si>
    <t>60X8</t>
  </si>
  <si>
    <t>BE235442</t>
  </si>
  <si>
    <t>QUADRI</t>
  </si>
  <si>
    <t>12X12</t>
  </si>
  <si>
    <t>50X15</t>
  </si>
  <si>
    <t>60X12</t>
  </si>
  <si>
    <t>220X20</t>
  </si>
  <si>
    <t>200X20</t>
  </si>
  <si>
    <t>300X15</t>
  </si>
  <si>
    <t>220X10</t>
  </si>
  <si>
    <t>200X12</t>
  </si>
  <si>
    <t>220X15</t>
  </si>
  <si>
    <t>120X10</t>
  </si>
  <si>
    <t>200X10</t>
  </si>
  <si>
    <t>60X15</t>
  </si>
  <si>
    <t>300X10</t>
  </si>
  <si>
    <t>200X6</t>
  </si>
  <si>
    <t>50X8</t>
  </si>
  <si>
    <t>40X8</t>
  </si>
  <si>
    <t>80X10</t>
  </si>
  <si>
    <t>100X10</t>
  </si>
  <si>
    <t>Ø 20</t>
  </si>
  <si>
    <t>PER IL SIMBOLO Ø PREMERE ALT + 0216</t>
  </si>
  <si>
    <t>Ø 22</t>
  </si>
  <si>
    <t>BE222171</t>
  </si>
  <si>
    <t>BE235675</t>
  </si>
  <si>
    <t>Ø 24</t>
  </si>
  <si>
    <t>Ø 16</t>
  </si>
  <si>
    <t>QUANDO SI EFFETTUA L'INSERIMENTO TOGLIERE TUTTI I FILTRI</t>
  </si>
  <si>
    <t>(Tutto)</t>
  </si>
  <si>
    <t>Somma di N° PEZZI ATTUALE</t>
  </si>
  <si>
    <t>UTILITA' / SUGGERIMENTI</t>
  </si>
  <si>
    <t xml:space="preserve">PER VEDERE DATI CORRETTI SULLA TABELLA PIVOT: 
ANDARE SUL FOGLIO "PIVOT"
POSIZIONARSI SULLA TABELLA E CLICCARE IN UNA QUALSIASI CELLA
MENU IN ALTO "ANALISI TABELLA PIVOT"
SCEGLI "AGGIORNA TUTTI"
SELEZIONARE IL PROFILO DESIDERATO DAL MENU A TENDINA "ETICHETTE DI RIGA"
</t>
  </si>
  <si>
    <t>20-21/05/26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</si>
</sst>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3" fontId="1" fillId="2" borderId="1" xfId="0" applyNumberFormat="1" applyFont="1" applyFill="1" applyBorder="1"/>
    <xf numFmtId="3" fontId="0" fillId="0" borderId="0" xfId="0" applyNumberFormat="1"/>
    <xf numFmtId="1" fontId="1" fillId="2" borderId="1" xfId="0" applyNumberFormat="1" applyFont="1" applyFill="1" applyBorder="1"/>
    <xf numFmtId="1" fontId="0" fillId="0" borderId="0" xfId="0" applyNumberFormat="1"/>
    <xf numFmtId="1" fontId="0" fillId="0" borderId="0" xfId="0" quotePrefix="1" applyNumberFormat="1"/>
    <xf numFmtId="0" fontId="0" fillId="0" borderId="1" xfId="0" applyBorder="1"/>
    <xf numFmtId="3" fontId="0" fillId="0" borderId="0" xfId="0" quotePrefix="1" applyNumberFormat="1"/>
    <xf numFmtId="164" fontId="0" fillId="0" borderId="0" xfId="0" applyNumberFormat="1"/>
    <xf numFmtId="0" fontId="0" fillId="0" borderId="1" xfId="0" pivotButton="1" applyBorder="1"/>
    <xf numFmtId="0" fontId="0" fillId="0" borderId="1" xfId="0" applyBorder="1" applyAlignment="1">
      <alignment horizontal="left"/>
    </xf>
    <xf numFmtId="1" fontId="0" fillId="0" borderId="1" xfId="0" applyNumberFormat="1" applyBorder="1"/>
    <xf numFmtId="3" fontId="0" fillId="3" borderId="3" xfId="0" applyNumberFormat="1" applyFill="1" applyBorder="1"/>
    <xf numFmtId="3" fontId="3" fillId="5" borderId="2" xfId="0" applyNumberFormat="1" applyFont="1" applyFill="1" applyBorder="1" applyAlignment="1">
      <alignment horizontal="center" vertical="center" wrapText="1"/>
    </xf>
    <xf numFmtId="3" fontId="0" fillId="5" borderId="2" xfId="0" applyNumberFormat="1" applyFill="1" applyBorder="1"/>
    <xf numFmtId="3" fontId="3" fillId="6" borderId="2" xfId="0" applyNumberFormat="1" applyFont="1" applyFill="1" applyBorder="1" applyAlignment="1">
      <alignment horizontal="center" vertical="center" wrapText="1"/>
    </xf>
    <xf numFmtId="3" fontId="0" fillId="6" borderId="2" xfId="0" applyNumberFormat="1" applyFill="1" applyBorder="1"/>
    <xf numFmtId="14" fontId="0" fillId="4" borderId="0" xfId="0" applyNumberFormat="1" applyFill="1"/>
    <xf numFmtId="3" fontId="3" fillId="0" borderId="0" xfId="0" applyNumberFormat="1" applyFont="1" applyAlignment="1">
      <alignment horizontal="center" vertical="center" wrapText="1"/>
    </xf>
    <xf numFmtId="3" fontId="3" fillId="4" borderId="0" xfId="0" applyNumberFormat="1" applyFont="1" applyFill="1" applyAlignment="1">
      <alignment horizontal="center" vertical="center" wrapText="1"/>
    </xf>
    <xf numFmtId="14" fontId="3" fillId="5" borderId="2" xfId="0" applyNumberFormat="1" applyFont="1" applyFill="1" applyBorder="1" applyAlignment="1">
      <alignment horizontal="center" vertical="center" wrapText="1"/>
    </xf>
    <xf numFmtId="14" fontId="0" fillId="5" borderId="2" xfId="0" applyNumberFormat="1" applyFill="1" applyBorder="1"/>
    <xf numFmtId="14" fontId="0" fillId="0" borderId="0" xfId="0" applyNumberFormat="1"/>
    <xf numFmtId="14" fontId="3" fillId="6" borderId="2" xfId="0" applyNumberFormat="1" applyFont="1" applyFill="1" applyBorder="1" applyAlignment="1">
      <alignment horizontal="center" vertical="center" wrapText="1"/>
    </xf>
    <xf numFmtId="14" fontId="0" fillId="6" borderId="2" xfId="0" applyNumberFormat="1" applyFill="1" applyBorder="1"/>
    <xf numFmtId="3" fontId="3" fillId="7" borderId="2" xfId="0" applyNumberFormat="1" applyFont="1" applyFill="1" applyBorder="1" applyAlignment="1">
      <alignment horizontal="center" vertical="center" wrapText="1"/>
    </xf>
    <xf numFmtId="3" fontId="0" fillId="7" borderId="2" xfId="0" applyNumberFormat="1" applyFill="1" applyBorder="1"/>
    <xf numFmtId="49" fontId="0" fillId="0" borderId="0" xfId="0" applyNumberFormat="1"/>
    <xf numFmtId="0" fontId="0" fillId="4" borderId="0" xfId="0" applyFill="1"/>
    <xf numFmtId="4" fontId="0" fillId="0" borderId="0" xfId="0" applyNumberFormat="1"/>
    <xf numFmtId="0" fontId="0" fillId="4" borderId="0" xfId="0" applyFill="1" applyAlignment="1">
      <alignment wrapText="1"/>
    </xf>
    <xf numFmtId="0" fontId="6" fillId="0" borderId="0" xfId="0" applyFont="1" applyAlignment="1">
      <alignment horizontal="center" vertical="center"/>
    </xf>
  </cellXfs>
  <cellStyles count="1">
    <cellStyle name="Normale" xfId="0" builtinId="0"/>
  </cellStyles>
  <dxfs count="14"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.dimassimo" refreshedDate="46163.645589699074" createdVersion="8" refreshedVersion="8" minRefreshableVersion="3" recordCount="999" xr:uid="{1B663C29-C734-44D6-AF93-E37B06306889}">
  <cacheSource type="worksheet">
    <worksheetSource ref="A1:Q1000" sheet="Inventario 8_5_26"/>
  </cacheSource>
  <cacheFields count="17">
    <cacheField name="TIPO" numFmtId="3">
      <sharedItems containsBlank="1" count="7">
        <s v="LAMIERA"/>
        <s v="SCATOLATI/ANGOLARI"/>
        <s v="TRAVI"/>
        <s v="PIATTI"/>
        <s v="TONDO"/>
        <s v="QUADRI"/>
        <m/>
      </sharedItems>
    </cacheField>
    <cacheField name="PROFILO" numFmtId="0">
      <sharedItems containsBlank="1" containsMixedTypes="1" containsNumber="1" minValue="1" maxValue="4" count="141">
        <n v="1"/>
        <n v="1.5"/>
        <n v="2"/>
        <n v="3"/>
        <n v="4"/>
        <s v="15/10"/>
        <s v="20/10"/>
        <s v="30/10"/>
        <s v="100/10"/>
        <s v="120/10"/>
        <s v="150/10"/>
        <s v="200/10"/>
        <s v="40/10"/>
        <s v="50/10"/>
        <s v="60/10"/>
        <s v="80/10"/>
        <s v="ANG 100X10"/>
        <s v="ANG 100X12"/>
        <s v="ANG 100X8"/>
        <s v="ANG 120X10"/>
        <s v="ANG 120X12"/>
        <s v="ANG 120X15"/>
        <s v="ANG 150X15"/>
        <s v="ANG 40X4"/>
        <s v="ANG 60X5"/>
        <s v="ANG 60X6"/>
        <s v="ANG 70X6"/>
        <s v="ANG 70X7"/>
        <s v="ANG 80X10"/>
        <s v="ANG 80X8"/>
        <s v="ANG 90X9"/>
        <s v="HEA 100"/>
        <s v="HEA 120"/>
        <s v="HEA 140"/>
        <s v="HEA 160"/>
        <s v="HEA 180"/>
        <s v="HEA 200"/>
        <s v="HEA 220"/>
        <s v="HEA 240"/>
        <s v="HEA 260"/>
        <s v="HEA 280"/>
        <s v="HEA 300"/>
        <s v="HEA 320"/>
        <s v="HEA 450"/>
        <s v="HEA 600"/>
        <s v="HEB 120"/>
        <s v="HEB 140"/>
        <s v="HEB 160"/>
        <s v="HEB 180"/>
        <s v="HEB 200"/>
        <s v="HEB 220"/>
        <s v="HEB 240"/>
        <s v="HEB 280"/>
        <s v="HEB 300"/>
        <s v="HEB 320"/>
        <s v="HEB 340"/>
        <s v="HEB 400"/>
        <s v="HEB 450"/>
        <s v="HEB 500"/>
        <s v="HEB 600"/>
        <s v="HEB 800"/>
        <s v="HEM 120"/>
        <s v="HEM 140"/>
        <s v="HEM 300"/>
        <s v="HEM 600"/>
        <s v="IPE 100"/>
        <s v="IPE 120"/>
        <s v="IPE 140"/>
        <s v="IPE 160"/>
        <s v="IPE 180"/>
        <s v="IPE 200"/>
        <s v="IPE 220"/>
        <s v="IPE 240"/>
        <s v="IPE 270"/>
        <s v="IPE 300"/>
        <s v="IPE 330"/>
        <s v="IPE 360"/>
        <s v="IPE 400"/>
        <s v="IPE 450"/>
        <s v="L 80X60X8"/>
        <s v="NERO/GRIGIA"/>
        <s v="RAL 9002"/>
        <s v="RAL 9006"/>
        <s v="TQ 100X100X3"/>
        <s v="TQ 100X100X4"/>
        <s v="TQ 120X120X3"/>
        <s v="TQ 120X120X5"/>
        <s v="TQ 40X40X3"/>
        <s v="TQ 60X60X3"/>
        <s v="TR 100X50X3"/>
        <s v="TR 120X60X3"/>
        <s v="TR 60X40X2"/>
        <s v="TR 80X40X3"/>
        <s v="TT 219,1X10"/>
        <s v="TT 26,9X3"/>
        <s v="TT 48X3"/>
        <s v="TT 60X3"/>
        <s v="UNP 100"/>
        <s v="UNP 120"/>
        <s v="UNP 140"/>
        <s v="UNP 160"/>
        <s v="UNP 180"/>
        <s v="UNP 180 "/>
        <s v="UNP 200"/>
        <s v="UNP 220"/>
        <s v="UNP 240"/>
        <s v="UNP 280"/>
        <s v="UNP 300"/>
        <s v="UNP 350"/>
        <s v="UNP 400"/>
        <s v="UNP 80"/>
        <s v="UNP160"/>
        <s v="UNP220"/>
        <s v="350X30"/>
        <s v="TR 40X30X3"/>
        <s v="150X5"/>
        <s v="Ø 12"/>
        <s v="60X8"/>
        <s v="12X12"/>
        <s v="50X15"/>
        <s v="60X12"/>
        <s v="220X20"/>
        <s v="200X20"/>
        <s v="300X15"/>
        <s v="220X10"/>
        <s v="200X12"/>
        <s v="220X15"/>
        <s v="120X10"/>
        <s v="200X10"/>
        <s v="60X15"/>
        <s v="300X10"/>
        <s v="200X6"/>
        <s v="50X8"/>
        <s v="40X8"/>
        <s v="80X10"/>
        <s v="100X10"/>
        <s v="Ø 20"/>
        <s v="Ø 22"/>
        <s v="Ø 24"/>
        <s v="Ø 16"/>
        <m/>
      </sharedItems>
    </cacheField>
    <cacheField name="N° PEZZI" numFmtId="3">
      <sharedItems containsString="0" containsBlank="1" containsNumber="1" minValue="1" maxValue="590"/>
    </cacheField>
    <cacheField name="DIMENSIONI" numFmtId="0">
      <sharedItems containsBlank="1" containsMixedTypes="1" containsNumber="1" containsInteger="1" minValue="300" maxValue="13500" count="97">
        <m/>
        <s v="3000*1500"/>
        <n v="12000"/>
        <n v="5500"/>
        <n v="6000"/>
        <n v="12100"/>
        <n v="2700"/>
        <n v="2300"/>
        <n v="10100"/>
        <n v="9200"/>
        <n v="2400"/>
        <n v="7100"/>
        <n v="6700"/>
        <n v="3700"/>
        <n v="1900"/>
        <n v="2100"/>
        <n v="2800"/>
        <n v="3600"/>
        <n v="2600"/>
        <n v="5800"/>
        <n v="3100"/>
        <n v="4800"/>
        <n v="4000"/>
        <n v="1600"/>
        <n v="1800"/>
        <n v="6400"/>
        <n v="5300"/>
        <n v="3500"/>
        <n v="2500"/>
        <n v="1700"/>
        <n v="1400"/>
        <n v="4100"/>
        <n v="2650"/>
        <n v="2000"/>
        <n v="7600"/>
        <n v="13400"/>
        <n v="13000"/>
        <n v="10000"/>
        <n v="4600"/>
        <n v="1000"/>
        <n v="1150"/>
        <n v="1350"/>
        <n v="1950"/>
        <n v="1200"/>
        <n v="4200"/>
        <n v="13200"/>
        <n v="7700"/>
        <n v="9100"/>
        <n v="1300"/>
        <n v="1500"/>
        <n v="13500"/>
        <n v="4300"/>
        <n v="6300"/>
        <n v="6100"/>
        <n v="5000"/>
        <n v="12200"/>
        <n v="7800"/>
        <n v="8900"/>
        <n v="8100"/>
        <n v="9300"/>
        <n v="12400"/>
        <n v="10500"/>
        <n v="12500"/>
        <n v="11100"/>
        <n v="8800"/>
        <n v="1450"/>
        <n v="5100"/>
        <n v="2900"/>
        <n v="9500"/>
        <n v="11200"/>
        <n v="2250"/>
        <n v="6500"/>
        <n v="8700"/>
        <n v="9900"/>
        <n v="10200"/>
        <n v="7000"/>
        <n v="11000"/>
        <n v="1100"/>
        <n v="3900"/>
        <n v="8500"/>
        <n v="1750"/>
        <n v="4500"/>
        <n v="6600"/>
        <n v="3000"/>
        <n v="3200"/>
        <n v="6900"/>
        <n v="3400"/>
        <n v="2200"/>
        <n v="13300"/>
        <n v="3300"/>
        <n v="300"/>
        <n v="9700"/>
        <n v="4850"/>
        <n v="3800"/>
        <n v="5600"/>
        <n v="7200"/>
        <n v="5700"/>
      </sharedItems>
    </cacheField>
    <cacheField name="QUALITA'" numFmtId="3">
      <sharedItems containsBlank="1" containsMixedTypes="1" containsNumber="1" containsInteger="1" minValue="355" maxValue="355"/>
    </cacheField>
    <cacheField name="COLATA" numFmtId="0">
      <sharedItems containsBlank="1" containsMixedTypes="1" containsNumber="1" containsInteger="1" minValue="4556" maxValue="25301995"/>
    </cacheField>
    <cacheField name="COMMESSA" numFmtId="3">
      <sharedItems containsBlank="1"/>
    </cacheField>
    <cacheField name="PESO [KG]" numFmtId="0">
      <sharedItems containsString="0" containsBlank="1" containsNumber="1" minValue="4.0199999999999996" maxValue="19170"/>
    </cacheField>
    <cacheField name="PESO/U [KG]" numFmtId="4">
      <sharedItems containsString="0" containsBlank="1" containsNumber="1" minValue="0.88800000000000001" maxValue="285"/>
    </cacheField>
    <cacheField name="PESO 1 PZ" numFmtId="164">
      <sharedItems containsString="0" containsBlank="1" containsNumber="1" minValue="0" maxValue="3170.2"/>
    </cacheField>
    <cacheField name="PAGINA " numFmtId="3">
      <sharedItems containsBlank="1" containsMixedTypes="1" containsNumber="1" containsInteger="1" minValue="1" maxValue="13"/>
    </cacheField>
    <cacheField name="DATA PRELIEVO" numFmtId="14">
      <sharedItems containsNonDate="0" containsDate="1" containsString="0" containsBlank="1" minDate="2026-05-08T00:00:00" maxDate="2026-05-21T00:00:00"/>
    </cacheField>
    <cacheField name="Q.TA' PRELIEVO" numFmtId="3">
      <sharedItems containsString="0" containsBlank="1" containsNumber="1" containsInteger="1" minValue="1" maxValue="13"/>
    </cacheField>
    <cacheField name="DDT O RESIDUO" numFmtId="3">
      <sharedItems containsBlank="1"/>
    </cacheField>
    <cacheField name="DATA ARRIVO" numFmtId="14">
      <sharedItems containsNonDate="0" containsDate="1" containsString="0" containsBlank="1" minDate="2026-05-12T00:00:00" maxDate="2026-05-20T00:00:00"/>
    </cacheField>
    <cacheField name="Q.TA' ARRIVATA O RESIDUO" numFmtId="3">
      <sharedItems containsNonDate="0" containsString="0" containsBlank="1"/>
    </cacheField>
    <cacheField name="N° PEZZI ATTUALE" numFmtId="3">
      <sharedItems containsString="0" containsBlank="1" containsNumber="1" minValue="0" maxValue="5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x v="0"/>
    <x v="0"/>
    <n v="24"/>
    <x v="0"/>
    <s v="ZINCATO"/>
    <m/>
    <m/>
    <n v="847.92"/>
    <m/>
    <n v="35.33"/>
    <s v="MASSIMO"/>
    <m/>
    <m/>
    <m/>
    <m/>
    <m/>
    <n v="24"/>
  </r>
  <r>
    <x v="0"/>
    <x v="1"/>
    <n v="18"/>
    <x v="0"/>
    <s v="ZINCATO"/>
    <m/>
    <m/>
    <n v="954"/>
    <m/>
    <n v="53"/>
    <s v="MASSIMO"/>
    <m/>
    <m/>
    <m/>
    <m/>
    <m/>
    <n v="18"/>
  </r>
  <r>
    <x v="0"/>
    <x v="2"/>
    <n v="54"/>
    <x v="0"/>
    <s v="ZINCATO"/>
    <m/>
    <m/>
    <n v="3834"/>
    <m/>
    <n v="71"/>
    <s v="MASSIMO"/>
    <m/>
    <m/>
    <m/>
    <m/>
    <m/>
    <n v="54"/>
  </r>
  <r>
    <x v="0"/>
    <x v="3"/>
    <n v="48"/>
    <x v="0"/>
    <s v="ZINCATO"/>
    <m/>
    <m/>
    <n v="5088"/>
    <m/>
    <n v="106"/>
    <s v="MASSIMO"/>
    <m/>
    <m/>
    <m/>
    <m/>
    <m/>
    <n v="48"/>
  </r>
  <r>
    <x v="0"/>
    <x v="4"/>
    <n v="12"/>
    <x v="0"/>
    <s v="ZINCATO"/>
    <m/>
    <m/>
    <n v="1695.6000000000001"/>
    <m/>
    <n v="141.30000000000001"/>
    <s v="MASSIMO"/>
    <m/>
    <m/>
    <m/>
    <m/>
    <m/>
    <n v="12"/>
  </r>
  <r>
    <x v="0"/>
    <x v="5"/>
    <n v="43"/>
    <x v="1"/>
    <m/>
    <m/>
    <m/>
    <n v="2279"/>
    <m/>
    <n v="53"/>
    <s v="MASSIMO"/>
    <m/>
    <m/>
    <m/>
    <m/>
    <m/>
    <n v="43"/>
  </r>
  <r>
    <x v="0"/>
    <x v="5"/>
    <n v="6"/>
    <x v="1"/>
    <s v="COR TEN"/>
    <m/>
    <m/>
    <n v="318"/>
    <m/>
    <n v="53"/>
    <s v="MASSIMO"/>
    <m/>
    <m/>
    <m/>
    <m/>
    <m/>
    <n v="6"/>
  </r>
  <r>
    <x v="0"/>
    <x v="6"/>
    <n v="7"/>
    <x v="1"/>
    <m/>
    <m/>
    <m/>
    <n v="497"/>
    <m/>
    <n v="71"/>
    <s v="MASSIMO"/>
    <m/>
    <m/>
    <m/>
    <m/>
    <m/>
    <n v="7"/>
  </r>
  <r>
    <x v="0"/>
    <x v="6"/>
    <n v="4"/>
    <x v="1"/>
    <s v="COR TEN"/>
    <m/>
    <m/>
    <n v="284"/>
    <m/>
    <n v="71"/>
    <s v="MASSIMO"/>
    <m/>
    <m/>
    <m/>
    <m/>
    <m/>
    <n v="4"/>
  </r>
  <r>
    <x v="0"/>
    <x v="7"/>
    <n v="43"/>
    <x v="1"/>
    <m/>
    <m/>
    <m/>
    <n v="4558"/>
    <m/>
    <n v="106"/>
    <s v="MASSIMO"/>
    <m/>
    <m/>
    <m/>
    <m/>
    <m/>
    <n v="43"/>
  </r>
  <r>
    <x v="0"/>
    <x v="8"/>
    <n v="10"/>
    <x v="1"/>
    <s v="S355"/>
    <m/>
    <m/>
    <n v="3530"/>
    <m/>
    <n v="353"/>
    <s v="MASSIMO"/>
    <m/>
    <m/>
    <m/>
    <m/>
    <m/>
    <n v="10"/>
  </r>
  <r>
    <x v="0"/>
    <x v="8"/>
    <n v="10"/>
    <x v="1"/>
    <s v="S275"/>
    <m/>
    <m/>
    <n v="3530"/>
    <m/>
    <n v="353"/>
    <s v="MASSIMO"/>
    <m/>
    <m/>
    <m/>
    <m/>
    <m/>
    <n v="10"/>
  </r>
  <r>
    <x v="0"/>
    <x v="9"/>
    <n v="19"/>
    <x v="1"/>
    <m/>
    <m/>
    <m/>
    <n v="8037"/>
    <m/>
    <n v="423"/>
    <s v="MASSIMO"/>
    <m/>
    <m/>
    <m/>
    <m/>
    <m/>
    <n v="19"/>
  </r>
  <r>
    <x v="0"/>
    <x v="10"/>
    <n v="13"/>
    <x v="1"/>
    <m/>
    <m/>
    <m/>
    <n v="6877"/>
    <m/>
    <n v="529"/>
    <s v="MASSIMO"/>
    <m/>
    <m/>
    <m/>
    <m/>
    <m/>
    <n v="13"/>
  </r>
  <r>
    <x v="0"/>
    <x v="11"/>
    <n v="2"/>
    <x v="1"/>
    <m/>
    <m/>
    <m/>
    <n v="1412"/>
    <m/>
    <n v="706"/>
    <s v="MASSIMO"/>
    <m/>
    <m/>
    <m/>
    <m/>
    <m/>
    <n v="2"/>
  </r>
  <r>
    <x v="0"/>
    <x v="12"/>
    <n v="31"/>
    <x v="1"/>
    <m/>
    <m/>
    <m/>
    <n v="4380.3"/>
    <m/>
    <n v="141.30000000000001"/>
    <s v="MASSIMO"/>
    <m/>
    <m/>
    <m/>
    <m/>
    <m/>
    <n v="31"/>
  </r>
  <r>
    <x v="0"/>
    <x v="13"/>
    <n v="18"/>
    <x v="1"/>
    <m/>
    <m/>
    <m/>
    <n v="3179.34"/>
    <m/>
    <n v="176.63"/>
    <s v="MASSIMO"/>
    <m/>
    <m/>
    <m/>
    <m/>
    <m/>
    <n v="18"/>
  </r>
  <r>
    <x v="0"/>
    <x v="14"/>
    <n v="20"/>
    <x v="1"/>
    <m/>
    <m/>
    <m/>
    <n v="4239"/>
    <m/>
    <n v="211.95"/>
    <s v="MASSIMO"/>
    <m/>
    <m/>
    <m/>
    <m/>
    <m/>
    <n v="20"/>
  </r>
  <r>
    <x v="0"/>
    <x v="15"/>
    <n v="16"/>
    <x v="1"/>
    <m/>
    <m/>
    <m/>
    <n v="4521.6000000000004"/>
    <m/>
    <n v="282.60000000000002"/>
    <s v="MASSIMO"/>
    <m/>
    <m/>
    <m/>
    <m/>
    <m/>
    <n v="16"/>
  </r>
  <r>
    <x v="1"/>
    <x v="16"/>
    <n v="14.23841059602649"/>
    <x v="2"/>
    <s v="S355"/>
    <s v="BE234873"/>
    <s v="25_60"/>
    <n v="2580"/>
    <n v="15.1"/>
    <n v="181.2"/>
    <s v="DAN. 1"/>
    <m/>
    <m/>
    <m/>
    <m/>
    <m/>
    <n v="14.23841059602649"/>
  </r>
  <r>
    <x v="1"/>
    <x v="16"/>
    <n v="1"/>
    <x v="2"/>
    <m/>
    <m/>
    <m/>
    <n v="181.2"/>
    <n v="15.1"/>
    <n v="181.2"/>
    <s v="DAN. 1"/>
    <m/>
    <m/>
    <m/>
    <m/>
    <m/>
    <n v="1"/>
  </r>
  <r>
    <x v="1"/>
    <x v="16"/>
    <n v="14"/>
    <x v="2"/>
    <s v="S275"/>
    <s v="BE230422"/>
    <s v="26_04"/>
    <n v="2580"/>
    <n v="15.1"/>
    <n v="181.2"/>
    <s v="DAN. 2"/>
    <d v="2026-05-20T00:00:00"/>
    <n v="13"/>
    <m/>
    <m/>
    <m/>
    <n v="1"/>
  </r>
  <r>
    <x v="1"/>
    <x v="16"/>
    <n v="14.23841059602649"/>
    <x v="2"/>
    <s v="S355"/>
    <s v="BE234873"/>
    <s v="25_60"/>
    <n v="2580"/>
    <n v="15.1"/>
    <n v="181.2"/>
    <s v="DAN. 2"/>
    <m/>
    <m/>
    <m/>
    <m/>
    <m/>
    <n v="14.23841059602649"/>
  </r>
  <r>
    <x v="1"/>
    <x v="16"/>
    <n v="14.23841059602649"/>
    <x v="2"/>
    <s v="S355"/>
    <s v="BE234873"/>
    <s v="25_60"/>
    <n v="2580"/>
    <n v="15.1"/>
    <n v="181.2"/>
    <s v="DAN. 2"/>
    <m/>
    <m/>
    <m/>
    <m/>
    <m/>
    <n v="14.23841059602649"/>
  </r>
  <r>
    <x v="1"/>
    <x v="16"/>
    <n v="14.23841059602649"/>
    <x v="2"/>
    <s v="S355"/>
    <s v="BE234873"/>
    <s v="25_60"/>
    <n v="2580"/>
    <n v="15.1"/>
    <n v="181.2"/>
    <s v="DAN. 2"/>
    <m/>
    <m/>
    <m/>
    <m/>
    <m/>
    <n v="14.23841059602649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7"/>
    <n v="14.04494382022472"/>
    <x v="2"/>
    <s v="S355"/>
    <n v="3117964"/>
    <m/>
    <n v="3000"/>
    <n v="17.8"/>
    <n v="213.6"/>
    <s v="DAN. 1"/>
    <m/>
    <m/>
    <m/>
    <m/>
    <m/>
    <n v="14.04494382022472"/>
  </r>
  <r>
    <x v="1"/>
    <x v="18"/>
    <n v="16"/>
    <x v="3"/>
    <s v="S275"/>
    <s v="BE230422"/>
    <m/>
    <n v="1073.5999999999999"/>
    <n v="12.2"/>
    <n v="67.099999999999994"/>
    <s v="DAN. 1"/>
    <m/>
    <m/>
    <m/>
    <m/>
    <m/>
    <n v="16"/>
  </r>
  <r>
    <x v="1"/>
    <x v="18"/>
    <n v="17"/>
    <x v="2"/>
    <s v="S275"/>
    <s v="BE234900"/>
    <m/>
    <n v="2488.8000000000002"/>
    <n v="12.2"/>
    <n v="146.4"/>
    <s v="DAN. 2"/>
    <m/>
    <m/>
    <m/>
    <m/>
    <m/>
    <n v="17"/>
  </r>
  <r>
    <x v="1"/>
    <x v="18"/>
    <n v="8"/>
    <x v="2"/>
    <s v="S275"/>
    <s v="BE233644"/>
    <m/>
    <n v="1171.2"/>
    <n v="12.2"/>
    <n v="146.4"/>
    <s v="DAN. 2"/>
    <m/>
    <m/>
    <m/>
    <m/>
    <m/>
    <n v="8"/>
  </r>
  <r>
    <x v="1"/>
    <x v="19"/>
    <n v="5"/>
    <x v="2"/>
    <s v="S355"/>
    <s v="CORTEN"/>
    <m/>
    <n v="1092"/>
    <n v="18.2"/>
    <n v="218.4"/>
    <s v="DAN. 1"/>
    <m/>
    <m/>
    <m/>
    <m/>
    <m/>
    <n v="5"/>
  </r>
  <r>
    <x v="1"/>
    <x v="20"/>
    <n v="3"/>
    <x v="2"/>
    <m/>
    <m/>
    <m/>
    <n v="777.60000000000014"/>
    <n v="21.6"/>
    <n v="259.20000000000005"/>
    <s v="DAN. 1"/>
    <m/>
    <m/>
    <m/>
    <m/>
    <m/>
    <n v="3"/>
  </r>
  <r>
    <x v="1"/>
    <x v="20"/>
    <n v="9"/>
    <x v="2"/>
    <s v="S275"/>
    <s v="BE228037"/>
    <m/>
    <n v="2332.8000000000002"/>
    <n v="21.6"/>
    <n v="259.20000000000005"/>
    <s v="DAN. 2"/>
    <m/>
    <m/>
    <m/>
    <m/>
    <m/>
    <n v="9"/>
  </r>
  <r>
    <x v="1"/>
    <x v="20"/>
    <n v="9"/>
    <x v="2"/>
    <s v="S275"/>
    <s v="BE235562"/>
    <m/>
    <n v="2332.8000000000002"/>
    <n v="21.6"/>
    <n v="259.20000000000005"/>
    <s v="DAN. 2"/>
    <m/>
    <m/>
    <m/>
    <m/>
    <m/>
    <n v="9"/>
  </r>
  <r>
    <x v="1"/>
    <x v="21"/>
    <n v="8"/>
    <x v="2"/>
    <s v="S355"/>
    <s v="BE230651"/>
    <m/>
    <n v="2553.6"/>
    <n v="26.6"/>
    <n v="319.2"/>
    <s v="DAN. 2"/>
    <m/>
    <m/>
    <m/>
    <m/>
    <m/>
    <n v="8"/>
  </r>
  <r>
    <x v="1"/>
    <x v="21"/>
    <n v="2"/>
    <x v="2"/>
    <s v="S355"/>
    <m/>
    <m/>
    <n v="638.4"/>
    <n v="26.6"/>
    <n v="319.2"/>
    <s v="DAN. 2"/>
    <m/>
    <m/>
    <m/>
    <m/>
    <m/>
    <n v="2"/>
  </r>
  <r>
    <x v="1"/>
    <x v="22"/>
    <n v="2"/>
    <x v="2"/>
    <s v="S355"/>
    <m/>
    <m/>
    <n v="638.4"/>
    <n v="26.6"/>
    <n v="319.2"/>
    <s v="DAN. 1"/>
    <m/>
    <m/>
    <m/>
    <m/>
    <m/>
    <n v="2"/>
  </r>
  <r>
    <x v="1"/>
    <x v="23"/>
    <n v="14"/>
    <x v="4"/>
    <s v="S275"/>
    <m/>
    <m/>
    <n v="203.28"/>
    <n v="2.42"/>
    <n v="14.52"/>
    <s v="DAN. 1"/>
    <m/>
    <m/>
    <m/>
    <m/>
    <m/>
    <n v="14"/>
  </r>
  <r>
    <x v="1"/>
    <x v="24"/>
    <n v="44.310722100656456"/>
    <x v="2"/>
    <s v="S275"/>
    <s v="BE231621"/>
    <m/>
    <n v="2430"/>
    <n v="4.57"/>
    <n v="54.84"/>
    <s v="DAN. 2"/>
    <m/>
    <m/>
    <m/>
    <m/>
    <m/>
    <n v="44.310722100656456"/>
  </r>
  <r>
    <x v="1"/>
    <x v="25"/>
    <n v="5"/>
    <x v="2"/>
    <s v="S275"/>
    <m/>
    <m/>
    <n v="325.20000000000005"/>
    <n v="5.42"/>
    <n v="65.040000000000006"/>
    <s v="DAN. 1"/>
    <m/>
    <m/>
    <m/>
    <m/>
    <m/>
    <n v="5"/>
  </r>
  <r>
    <x v="1"/>
    <x v="25"/>
    <n v="5"/>
    <x v="2"/>
    <s v="S275"/>
    <m/>
    <m/>
    <n v="325.20000000000005"/>
    <n v="5.42"/>
    <n v="65.040000000000006"/>
    <s v="DAN. 1"/>
    <m/>
    <m/>
    <m/>
    <m/>
    <m/>
    <n v="5"/>
  </r>
  <r>
    <x v="1"/>
    <x v="25"/>
    <n v="63"/>
    <x v="2"/>
    <s v="S355"/>
    <n v="171372"/>
    <m/>
    <n v="4097.5200000000004"/>
    <n v="5.42"/>
    <n v="65.040000000000006"/>
    <s v="DAN. 2"/>
    <m/>
    <m/>
    <m/>
    <m/>
    <m/>
    <n v="63"/>
  </r>
  <r>
    <x v="1"/>
    <x v="26"/>
    <n v="20"/>
    <x v="2"/>
    <s v="S275"/>
    <m/>
    <s v="MAG"/>
    <n v="1531.2"/>
    <n v="6.38"/>
    <n v="76.56"/>
    <s v="DAN. 2"/>
    <m/>
    <m/>
    <m/>
    <m/>
    <m/>
    <n v="20"/>
  </r>
  <r>
    <x v="1"/>
    <x v="27"/>
    <n v="10"/>
    <x v="2"/>
    <s v="S355"/>
    <m/>
    <s v="MAG"/>
    <n v="885.6"/>
    <n v="7.38"/>
    <n v="88.56"/>
    <s v="DAN. 2"/>
    <m/>
    <m/>
    <m/>
    <m/>
    <m/>
    <n v="10"/>
  </r>
  <r>
    <x v="1"/>
    <x v="27"/>
    <n v="16"/>
    <x v="2"/>
    <s v="S355"/>
    <m/>
    <s v="MAG"/>
    <n v="1416.96"/>
    <n v="7.38"/>
    <n v="88.56"/>
    <s v="DAN. 2"/>
    <m/>
    <m/>
    <m/>
    <m/>
    <m/>
    <n v="16"/>
  </r>
  <r>
    <x v="1"/>
    <x v="28"/>
    <n v="28"/>
    <x v="2"/>
    <s v="S355"/>
    <n v="74290"/>
    <m/>
    <n v="3998.4000000000005"/>
    <n v="11.9"/>
    <n v="142.80000000000001"/>
    <s v="DAN. 2"/>
    <m/>
    <m/>
    <m/>
    <m/>
    <m/>
    <n v="28"/>
  </r>
  <r>
    <x v="1"/>
    <x v="28"/>
    <n v="28"/>
    <x v="2"/>
    <s v="S355"/>
    <n v="74290"/>
    <m/>
    <n v="3998.4000000000005"/>
    <n v="11.9"/>
    <n v="142.80000000000001"/>
    <s v="DAN. 2"/>
    <m/>
    <m/>
    <m/>
    <m/>
    <m/>
    <n v="28"/>
  </r>
  <r>
    <x v="1"/>
    <x v="28"/>
    <n v="28"/>
    <x v="2"/>
    <s v="S355"/>
    <n v="74290"/>
    <m/>
    <n v="3998.4000000000005"/>
    <n v="11.9"/>
    <n v="142.80000000000001"/>
    <s v="DAN. 2"/>
    <m/>
    <m/>
    <m/>
    <m/>
    <m/>
    <n v="28"/>
  </r>
  <r>
    <x v="1"/>
    <x v="28"/>
    <n v="28"/>
    <x v="2"/>
    <s v="S355"/>
    <n v="74290"/>
    <m/>
    <n v="3998.4000000000005"/>
    <n v="11.9"/>
    <n v="142.80000000000001"/>
    <s v="DAN. 2"/>
    <m/>
    <m/>
    <m/>
    <m/>
    <m/>
    <n v="28"/>
  </r>
  <r>
    <x v="1"/>
    <x v="28"/>
    <n v="28"/>
    <x v="2"/>
    <s v="S355"/>
    <n v="74290"/>
    <m/>
    <n v="3998.4000000000005"/>
    <n v="11.9"/>
    <n v="142.80000000000001"/>
    <s v="DAN. 2"/>
    <m/>
    <m/>
    <m/>
    <m/>
    <m/>
    <n v="28"/>
  </r>
  <r>
    <x v="1"/>
    <x v="28"/>
    <n v="28"/>
    <x v="2"/>
    <s v="S355"/>
    <n v="74290"/>
    <m/>
    <n v="3998.4000000000005"/>
    <n v="11.9"/>
    <n v="142.80000000000001"/>
    <s v="DAN. 2"/>
    <m/>
    <m/>
    <m/>
    <m/>
    <m/>
    <n v="28"/>
  </r>
  <r>
    <x v="1"/>
    <x v="29"/>
    <n v="10"/>
    <x v="2"/>
    <s v="S275"/>
    <s v="BE244037"/>
    <m/>
    <n v="1159.2"/>
    <n v="9.66"/>
    <n v="115.92"/>
    <s v="DAN. 1"/>
    <m/>
    <m/>
    <m/>
    <m/>
    <m/>
    <n v="10"/>
  </r>
  <r>
    <x v="1"/>
    <x v="29"/>
    <n v="12"/>
    <x v="2"/>
    <m/>
    <m/>
    <m/>
    <n v="1391.04"/>
    <n v="9.66"/>
    <n v="115.92"/>
    <s v="DAN. 1"/>
    <m/>
    <m/>
    <m/>
    <m/>
    <m/>
    <n v="12"/>
  </r>
  <r>
    <x v="1"/>
    <x v="29"/>
    <n v="10"/>
    <x v="2"/>
    <s v="S355"/>
    <m/>
    <s v="MAG"/>
    <n v="1159.2"/>
    <n v="9.66"/>
    <n v="115.92"/>
    <s v="DAN. 2"/>
    <m/>
    <m/>
    <m/>
    <m/>
    <m/>
    <n v="10"/>
  </r>
  <r>
    <x v="1"/>
    <x v="29"/>
    <n v="8"/>
    <x v="4"/>
    <s v="S275"/>
    <m/>
    <m/>
    <n v="463.68"/>
    <n v="9.66"/>
    <n v="57.96"/>
    <s v="DAN. 2"/>
    <m/>
    <m/>
    <m/>
    <m/>
    <m/>
    <n v="8"/>
  </r>
  <r>
    <x v="1"/>
    <x v="29"/>
    <n v="23"/>
    <x v="2"/>
    <s v="S275"/>
    <s v="BE232019"/>
    <m/>
    <n v="2666.16"/>
    <n v="9.66"/>
    <n v="115.92"/>
    <s v="DAN. 2"/>
    <m/>
    <m/>
    <m/>
    <m/>
    <m/>
    <n v="23"/>
  </r>
  <r>
    <x v="1"/>
    <x v="29"/>
    <n v="23"/>
    <x v="2"/>
    <s v="S275"/>
    <s v="BE232020"/>
    <m/>
    <n v="2666.16"/>
    <n v="9.66"/>
    <n v="115.92"/>
    <s v="DAN. 2"/>
    <m/>
    <m/>
    <m/>
    <m/>
    <m/>
    <n v="23"/>
  </r>
  <r>
    <x v="1"/>
    <x v="29"/>
    <n v="22.77432712215321"/>
    <x v="2"/>
    <s v="S275"/>
    <s v="BE234037"/>
    <m/>
    <n v="2640"/>
    <n v="9.66"/>
    <n v="115.92"/>
    <s v="DAN. 2"/>
    <m/>
    <m/>
    <m/>
    <m/>
    <m/>
    <n v="22.77432712215321"/>
  </r>
  <r>
    <x v="1"/>
    <x v="30"/>
    <n v="9"/>
    <x v="2"/>
    <s v="S355"/>
    <s v="BE233714"/>
    <m/>
    <n v="1317.6000000000001"/>
    <n v="12.2"/>
    <n v="146.4"/>
    <s v="DAN. 1"/>
    <m/>
    <m/>
    <m/>
    <m/>
    <m/>
    <n v="9"/>
  </r>
  <r>
    <x v="2"/>
    <x v="31"/>
    <n v="4"/>
    <x v="5"/>
    <m/>
    <m/>
    <m/>
    <n v="808.28"/>
    <n v="16.7"/>
    <n v="202.07"/>
    <n v="6"/>
    <m/>
    <m/>
    <m/>
    <m/>
    <m/>
    <n v="4"/>
  </r>
  <r>
    <x v="2"/>
    <x v="31"/>
    <n v="3"/>
    <x v="5"/>
    <m/>
    <m/>
    <m/>
    <n v="606.21"/>
    <n v="16.7"/>
    <n v="202.07"/>
    <n v="6"/>
    <m/>
    <m/>
    <m/>
    <m/>
    <m/>
    <n v="3"/>
  </r>
  <r>
    <x v="2"/>
    <x v="31"/>
    <n v="1"/>
    <x v="6"/>
    <m/>
    <m/>
    <m/>
    <n v="45.09"/>
    <n v="16.7"/>
    <n v="45.09"/>
    <n v="12"/>
    <m/>
    <m/>
    <m/>
    <m/>
    <m/>
    <n v="1"/>
  </r>
  <r>
    <x v="2"/>
    <x v="31"/>
    <n v="1"/>
    <x v="7"/>
    <m/>
    <m/>
    <m/>
    <n v="38.409999999999997"/>
    <n v="16.7"/>
    <n v="38.409999999999997"/>
    <n v="12"/>
    <m/>
    <m/>
    <m/>
    <m/>
    <m/>
    <n v="1"/>
  </r>
  <r>
    <x v="2"/>
    <x v="32"/>
    <n v="1"/>
    <x v="5"/>
    <s v="S275J0"/>
    <s v="1545141A"/>
    <m/>
    <n v="240.78999999999996"/>
    <n v="19.899999999999999"/>
    <n v="240.78999999999996"/>
    <n v="3"/>
    <m/>
    <m/>
    <m/>
    <m/>
    <m/>
    <n v="1"/>
  </r>
  <r>
    <x v="2"/>
    <x v="32"/>
    <n v="1"/>
    <x v="5"/>
    <m/>
    <m/>
    <m/>
    <n v="240.78999999999996"/>
    <n v="19.899999999999999"/>
    <n v="240.78999999999996"/>
    <n v="6"/>
    <m/>
    <m/>
    <m/>
    <m/>
    <m/>
    <n v="1"/>
  </r>
  <r>
    <x v="2"/>
    <x v="33"/>
    <n v="2"/>
    <x v="5"/>
    <m/>
    <m/>
    <m/>
    <n v="597.74"/>
    <n v="24.7"/>
    <n v="298.87"/>
    <n v="2"/>
    <m/>
    <m/>
    <m/>
    <m/>
    <m/>
    <n v="2"/>
  </r>
  <r>
    <x v="2"/>
    <x v="33"/>
    <n v="20"/>
    <x v="5"/>
    <s v="S355J2"/>
    <n v="242020"/>
    <m/>
    <n v="5977.4"/>
    <n v="24.7"/>
    <n v="298.87"/>
    <n v="3"/>
    <m/>
    <m/>
    <m/>
    <m/>
    <m/>
    <n v="20"/>
  </r>
  <r>
    <x v="2"/>
    <x v="33"/>
    <n v="16"/>
    <x v="8"/>
    <s v="S355J2"/>
    <n v="157949"/>
    <m/>
    <n v="3991.52"/>
    <n v="24.7"/>
    <n v="249.47"/>
    <n v="3"/>
    <m/>
    <m/>
    <m/>
    <m/>
    <m/>
    <n v="16"/>
  </r>
  <r>
    <x v="2"/>
    <x v="33"/>
    <n v="16"/>
    <x v="8"/>
    <s v="S355J2"/>
    <n v="158212"/>
    <m/>
    <n v="3991.52"/>
    <n v="24.7"/>
    <n v="249.47"/>
    <n v="3"/>
    <m/>
    <m/>
    <m/>
    <m/>
    <m/>
    <n v="16"/>
  </r>
  <r>
    <x v="2"/>
    <x v="33"/>
    <n v="16"/>
    <x v="8"/>
    <s v="S355J2"/>
    <n v="157949"/>
    <m/>
    <n v="3991.52"/>
    <n v="24.7"/>
    <n v="249.47"/>
    <n v="3"/>
    <m/>
    <m/>
    <m/>
    <m/>
    <m/>
    <n v="16"/>
  </r>
  <r>
    <x v="2"/>
    <x v="33"/>
    <n v="13"/>
    <x v="9"/>
    <s v="S355J2"/>
    <n v="158212"/>
    <m/>
    <n v="2954.12"/>
    <n v="24.7"/>
    <n v="227.24"/>
    <n v="3"/>
    <m/>
    <m/>
    <m/>
    <m/>
    <m/>
    <n v="13"/>
  </r>
  <r>
    <x v="2"/>
    <x v="33"/>
    <n v="2"/>
    <x v="8"/>
    <s v="S355J2"/>
    <n v="158212"/>
    <m/>
    <n v="498.94"/>
    <n v="24.7"/>
    <n v="249.47"/>
    <n v="3"/>
    <m/>
    <m/>
    <m/>
    <m/>
    <m/>
    <n v="2"/>
  </r>
  <r>
    <x v="2"/>
    <x v="33"/>
    <n v="2"/>
    <x v="10"/>
    <m/>
    <m/>
    <m/>
    <n v="118.56"/>
    <n v="24.7"/>
    <n v="59.28"/>
    <n v="11"/>
    <m/>
    <m/>
    <m/>
    <m/>
    <m/>
    <n v="2"/>
  </r>
  <r>
    <x v="2"/>
    <x v="34"/>
    <n v="11"/>
    <x v="5"/>
    <s v="S355J2"/>
    <n v="157446"/>
    <m/>
    <n v="4046.24"/>
    <n v="30.4"/>
    <n v="367.84"/>
    <n v="1"/>
    <m/>
    <m/>
    <m/>
    <m/>
    <m/>
    <n v="11"/>
  </r>
  <r>
    <x v="2"/>
    <x v="34"/>
    <n v="4"/>
    <x v="5"/>
    <m/>
    <m/>
    <m/>
    <n v="1471.36"/>
    <n v="30.4"/>
    <n v="367.84"/>
    <n v="1"/>
    <m/>
    <m/>
    <m/>
    <m/>
    <m/>
    <n v="4"/>
  </r>
  <r>
    <x v="2"/>
    <x v="34"/>
    <n v="8"/>
    <x v="11"/>
    <m/>
    <m/>
    <m/>
    <n v="1726.72"/>
    <n v="30.4"/>
    <n v="215.84"/>
    <n v="2"/>
    <m/>
    <m/>
    <m/>
    <m/>
    <m/>
    <n v="8"/>
  </r>
  <r>
    <x v="2"/>
    <x v="34"/>
    <n v="2"/>
    <x v="5"/>
    <m/>
    <m/>
    <m/>
    <n v="735.68"/>
    <n v="30.4"/>
    <n v="367.84"/>
    <n v="5"/>
    <m/>
    <m/>
    <m/>
    <m/>
    <m/>
    <n v="2"/>
  </r>
  <r>
    <x v="2"/>
    <x v="34"/>
    <n v="1"/>
    <x v="12"/>
    <m/>
    <m/>
    <m/>
    <n v="203.68"/>
    <n v="30.4"/>
    <n v="203.68"/>
    <n v="5"/>
    <m/>
    <m/>
    <m/>
    <m/>
    <m/>
    <n v="1"/>
  </r>
  <r>
    <x v="2"/>
    <x v="34"/>
    <n v="1"/>
    <x v="13"/>
    <m/>
    <m/>
    <m/>
    <n v="112.48"/>
    <n v="30.4"/>
    <n v="112.48"/>
    <n v="5"/>
    <m/>
    <m/>
    <m/>
    <m/>
    <m/>
    <n v="1"/>
  </r>
  <r>
    <x v="2"/>
    <x v="34"/>
    <n v="1"/>
    <x v="5"/>
    <s v="S275J2"/>
    <m/>
    <m/>
    <n v="367.84"/>
    <n v="30.4"/>
    <n v="367.84"/>
    <n v="5"/>
    <m/>
    <m/>
    <m/>
    <m/>
    <m/>
    <n v="1"/>
  </r>
  <r>
    <x v="2"/>
    <x v="34"/>
    <n v="10"/>
    <x v="5"/>
    <m/>
    <m/>
    <m/>
    <n v="3678.3999999999996"/>
    <n v="30.4"/>
    <n v="367.84"/>
    <n v="5"/>
    <m/>
    <m/>
    <m/>
    <m/>
    <m/>
    <n v="10"/>
  </r>
  <r>
    <x v="2"/>
    <x v="34"/>
    <n v="1"/>
    <x v="5"/>
    <s v="S275JR"/>
    <n v="85160"/>
    <m/>
    <n v="367.84"/>
    <n v="30.4"/>
    <n v="367.84"/>
    <n v="5"/>
    <m/>
    <m/>
    <m/>
    <m/>
    <m/>
    <n v="1"/>
  </r>
  <r>
    <x v="2"/>
    <x v="34"/>
    <n v="21"/>
    <x v="5"/>
    <s v="S275JR"/>
    <s v="09094-09097"/>
    <m/>
    <n v="7724.6399999999994"/>
    <n v="30.4"/>
    <n v="367.84"/>
    <n v="6"/>
    <m/>
    <m/>
    <m/>
    <m/>
    <m/>
    <n v="21"/>
  </r>
  <r>
    <x v="2"/>
    <x v="34"/>
    <n v="1"/>
    <x v="14"/>
    <m/>
    <m/>
    <m/>
    <n v="57.76"/>
    <n v="30.4"/>
    <n v="57.76"/>
    <n v="8"/>
    <m/>
    <m/>
    <m/>
    <m/>
    <m/>
    <n v="1"/>
  </r>
  <r>
    <x v="2"/>
    <x v="34"/>
    <n v="1"/>
    <x v="15"/>
    <m/>
    <m/>
    <m/>
    <n v="63.84"/>
    <n v="30.4"/>
    <n v="63.84"/>
    <n v="10"/>
    <m/>
    <m/>
    <m/>
    <m/>
    <m/>
    <n v="1"/>
  </r>
  <r>
    <x v="2"/>
    <x v="34"/>
    <n v="1"/>
    <x v="16"/>
    <m/>
    <m/>
    <m/>
    <n v="85.12"/>
    <n v="30.4"/>
    <n v="85.12"/>
    <n v="10"/>
    <m/>
    <m/>
    <m/>
    <m/>
    <m/>
    <n v="1"/>
  </r>
  <r>
    <x v="2"/>
    <x v="34"/>
    <n v="1"/>
    <x v="17"/>
    <m/>
    <m/>
    <m/>
    <n v="109.44"/>
    <n v="30.4"/>
    <n v="109.44"/>
    <n v="10"/>
    <m/>
    <m/>
    <m/>
    <m/>
    <m/>
    <n v="1"/>
  </r>
  <r>
    <x v="2"/>
    <x v="34"/>
    <n v="1"/>
    <x v="18"/>
    <m/>
    <m/>
    <m/>
    <n v="79.040000000000006"/>
    <n v="30.4"/>
    <n v="79.040000000000006"/>
    <n v="11"/>
    <m/>
    <m/>
    <m/>
    <m/>
    <m/>
    <n v="1"/>
  </r>
  <r>
    <x v="2"/>
    <x v="35"/>
    <n v="8"/>
    <x v="5"/>
    <m/>
    <m/>
    <m/>
    <n v="3436.4"/>
    <n v="35.5"/>
    <n v="429.55"/>
    <n v="1"/>
    <m/>
    <m/>
    <m/>
    <m/>
    <m/>
    <n v="8"/>
  </r>
  <r>
    <x v="2"/>
    <x v="35"/>
    <n v="12"/>
    <x v="5"/>
    <s v="S355J2"/>
    <n v="2253442"/>
    <m/>
    <n v="5154.6000000000004"/>
    <n v="35.5"/>
    <n v="429.55"/>
    <n v="3"/>
    <m/>
    <m/>
    <m/>
    <m/>
    <m/>
    <n v="12"/>
  </r>
  <r>
    <x v="2"/>
    <x v="35"/>
    <n v="4"/>
    <x v="5"/>
    <m/>
    <m/>
    <m/>
    <n v="1718.2"/>
    <n v="35.5"/>
    <n v="429.55"/>
    <n v="3"/>
    <m/>
    <m/>
    <m/>
    <m/>
    <m/>
    <n v="4"/>
  </r>
  <r>
    <x v="2"/>
    <x v="35"/>
    <n v="2"/>
    <x v="5"/>
    <m/>
    <m/>
    <m/>
    <n v="859.1"/>
    <n v="35.5"/>
    <n v="429.55"/>
    <n v="6"/>
    <m/>
    <m/>
    <m/>
    <m/>
    <m/>
    <n v="2"/>
  </r>
  <r>
    <x v="2"/>
    <x v="35"/>
    <n v="4"/>
    <x v="5"/>
    <s v="S355J2"/>
    <n v="27890"/>
    <m/>
    <n v="1718.2"/>
    <n v="35.5"/>
    <n v="429.55"/>
    <n v="6"/>
    <m/>
    <m/>
    <m/>
    <m/>
    <m/>
    <n v="4"/>
  </r>
  <r>
    <x v="2"/>
    <x v="35"/>
    <n v="1"/>
    <x v="19"/>
    <m/>
    <m/>
    <m/>
    <n v="205.9"/>
    <n v="35.5"/>
    <n v="205.9"/>
    <n v="6"/>
    <m/>
    <m/>
    <m/>
    <m/>
    <m/>
    <n v="1"/>
  </r>
  <r>
    <x v="2"/>
    <x v="35"/>
    <n v="3"/>
    <x v="5"/>
    <s v="S355J2"/>
    <m/>
    <m/>
    <n v="1288.6500000000001"/>
    <n v="35.5"/>
    <n v="429.55"/>
    <n v="7"/>
    <m/>
    <m/>
    <m/>
    <m/>
    <m/>
    <n v="3"/>
  </r>
  <r>
    <x v="2"/>
    <x v="35"/>
    <n v="2"/>
    <x v="5"/>
    <m/>
    <m/>
    <m/>
    <n v="859.1"/>
    <n v="35.5"/>
    <n v="429.55"/>
    <n v="7"/>
    <m/>
    <m/>
    <m/>
    <m/>
    <m/>
    <n v="2"/>
  </r>
  <r>
    <x v="2"/>
    <x v="35"/>
    <n v="1"/>
    <x v="20"/>
    <m/>
    <m/>
    <m/>
    <n v="110.05"/>
    <n v="35.5"/>
    <n v="110.05"/>
    <n v="7"/>
    <m/>
    <m/>
    <m/>
    <m/>
    <m/>
    <n v="1"/>
  </r>
  <r>
    <x v="2"/>
    <x v="35"/>
    <n v="1"/>
    <x v="21"/>
    <m/>
    <m/>
    <m/>
    <n v="170.4"/>
    <n v="35.5"/>
    <n v="170.4"/>
    <n v="9"/>
    <m/>
    <m/>
    <m/>
    <m/>
    <m/>
    <n v="1"/>
  </r>
  <r>
    <x v="2"/>
    <x v="35"/>
    <n v="1"/>
    <x v="22"/>
    <m/>
    <m/>
    <m/>
    <n v="142"/>
    <n v="35.5"/>
    <n v="142"/>
    <m/>
    <m/>
    <m/>
    <s v="residuo"/>
    <m/>
    <m/>
    <n v="1"/>
  </r>
  <r>
    <x v="2"/>
    <x v="35"/>
    <n v="1"/>
    <x v="23"/>
    <m/>
    <m/>
    <m/>
    <n v="56.8"/>
    <n v="35.5"/>
    <n v="56.8"/>
    <n v="11"/>
    <m/>
    <m/>
    <m/>
    <m/>
    <m/>
    <n v="1"/>
  </r>
  <r>
    <x v="2"/>
    <x v="36"/>
    <n v="20"/>
    <x v="11"/>
    <s v="S355J2"/>
    <m/>
    <s v="25_60"/>
    <n v="6006.5999999999995"/>
    <n v="42.3"/>
    <n v="300.33"/>
    <n v="1"/>
    <m/>
    <m/>
    <m/>
    <m/>
    <m/>
    <n v="20"/>
  </r>
  <r>
    <x v="2"/>
    <x v="36"/>
    <n v="33"/>
    <x v="5"/>
    <m/>
    <m/>
    <m/>
    <n v="16890.39"/>
    <n v="42.3"/>
    <n v="511.82999999999993"/>
    <n v="1"/>
    <m/>
    <m/>
    <m/>
    <m/>
    <m/>
    <n v="33"/>
  </r>
  <r>
    <x v="2"/>
    <x v="36"/>
    <n v="1"/>
    <x v="5"/>
    <m/>
    <m/>
    <m/>
    <n v="511.82999999999993"/>
    <n v="42.3"/>
    <n v="511.82999999999993"/>
    <n v="4"/>
    <m/>
    <m/>
    <m/>
    <m/>
    <m/>
    <n v="1"/>
  </r>
  <r>
    <x v="2"/>
    <x v="36"/>
    <n v="1"/>
    <x v="4"/>
    <m/>
    <m/>
    <m/>
    <n v="253.79999999999998"/>
    <n v="42.3"/>
    <n v="253.79999999999998"/>
    <n v="5"/>
    <m/>
    <m/>
    <m/>
    <m/>
    <m/>
    <n v="1"/>
  </r>
  <r>
    <x v="2"/>
    <x v="36"/>
    <n v="5"/>
    <x v="5"/>
    <m/>
    <m/>
    <m/>
    <n v="2559.1499999999996"/>
    <n v="42.3"/>
    <n v="511.82999999999993"/>
    <n v="5"/>
    <m/>
    <m/>
    <m/>
    <m/>
    <m/>
    <n v="5"/>
  </r>
  <r>
    <x v="2"/>
    <x v="36"/>
    <n v="9"/>
    <x v="5"/>
    <s v="S275JR"/>
    <s v="066761-85132"/>
    <m/>
    <n v="4606.4699999999993"/>
    <n v="42.3"/>
    <n v="511.82999999999993"/>
    <n v="7"/>
    <m/>
    <m/>
    <m/>
    <m/>
    <m/>
    <n v="9"/>
  </r>
  <r>
    <x v="2"/>
    <x v="36"/>
    <n v="37"/>
    <x v="5"/>
    <s v="S275JR"/>
    <s v="06761"/>
    <m/>
    <n v="18937.71"/>
    <n v="42.3"/>
    <n v="511.82999999999993"/>
    <n v="7"/>
    <m/>
    <m/>
    <m/>
    <m/>
    <m/>
    <n v="37"/>
  </r>
  <r>
    <x v="2"/>
    <x v="36"/>
    <n v="4"/>
    <x v="3"/>
    <m/>
    <m/>
    <m/>
    <n v="930.59999999999991"/>
    <n v="42.3"/>
    <n v="232.64999999999998"/>
    <n v="9"/>
    <m/>
    <m/>
    <m/>
    <m/>
    <m/>
    <n v="4"/>
  </r>
  <r>
    <x v="2"/>
    <x v="36"/>
    <n v="1"/>
    <x v="24"/>
    <m/>
    <m/>
    <m/>
    <n v="76.14"/>
    <n v="42.3"/>
    <n v="76.14"/>
    <n v="9"/>
    <m/>
    <m/>
    <m/>
    <m/>
    <m/>
    <n v="1"/>
  </r>
  <r>
    <x v="2"/>
    <x v="36"/>
    <n v="1"/>
    <x v="6"/>
    <m/>
    <m/>
    <m/>
    <n v="114.20999999999998"/>
    <n v="42.3"/>
    <n v="114.20999999999998"/>
    <n v="9"/>
    <m/>
    <m/>
    <m/>
    <m/>
    <m/>
    <n v="1"/>
  </r>
  <r>
    <x v="2"/>
    <x v="37"/>
    <n v="9"/>
    <x v="5"/>
    <s v="S275J2"/>
    <n v="155670"/>
    <m/>
    <n v="5499.45"/>
    <n v="50.5"/>
    <n v="611.04999999999995"/>
    <n v="2"/>
    <m/>
    <m/>
    <m/>
    <m/>
    <m/>
    <n v="9"/>
  </r>
  <r>
    <x v="2"/>
    <x v="37"/>
    <n v="2"/>
    <x v="5"/>
    <m/>
    <m/>
    <m/>
    <n v="1222.0999999999999"/>
    <n v="50.5"/>
    <n v="611.04999999999995"/>
    <n v="2"/>
    <m/>
    <m/>
    <m/>
    <m/>
    <m/>
    <n v="2"/>
  </r>
  <r>
    <x v="2"/>
    <x v="37"/>
    <n v="1"/>
    <x v="25"/>
    <m/>
    <m/>
    <m/>
    <n v="323.2"/>
    <n v="50.5"/>
    <n v="323.2"/>
    <n v="6"/>
    <m/>
    <m/>
    <m/>
    <m/>
    <m/>
    <n v="1"/>
  </r>
  <r>
    <x v="2"/>
    <x v="37"/>
    <n v="2"/>
    <x v="26"/>
    <m/>
    <m/>
    <m/>
    <n v="535.29999999999995"/>
    <n v="50.5"/>
    <n v="267.64999999999998"/>
    <n v="9"/>
    <m/>
    <m/>
    <m/>
    <m/>
    <m/>
    <n v="2"/>
  </r>
  <r>
    <x v="2"/>
    <x v="37"/>
    <n v="2"/>
    <x v="27"/>
    <m/>
    <m/>
    <m/>
    <n v="353.5"/>
    <n v="50.5"/>
    <n v="176.75"/>
    <n v="10"/>
    <m/>
    <m/>
    <m/>
    <m/>
    <m/>
    <n v="2"/>
  </r>
  <r>
    <x v="2"/>
    <x v="37"/>
    <n v="4"/>
    <x v="20"/>
    <m/>
    <m/>
    <m/>
    <n v="626.20000000000005"/>
    <n v="50.5"/>
    <n v="156.55000000000001"/>
    <n v="10"/>
    <m/>
    <m/>
    <m/>
    <m/>
    <m/>
    <n v="4"/>
  </r>
  <r>
    <x v="2"/>
    <x v="37"/>
    <n v="2"/>
    <x v="28"/>
    <m/>
    <m/>
    <m/>
    <n v="252.5"/>
    <n v="50.5"/>
    <n v="126.25"/>
    <n v="10"/>
    <m/>
    <m/>
    <m/>
    <m/>
    <m/>
    <n v="2"/>
  </r>
  <r>
    <x v="2"/>
    <x v="37"/>
    <n v="3"/>
    <x v="29"/>
    <m/>
    <m/>
    <m/>
    <n v="257.54999999999995"/>
    <n v="50.5"/>
    <n v="85.85"/>
    <n v="10"/>
    <m/>
    <m/>
    <m/>
    <m/>
    <m/>
    <n v="3"/>
  </r>
  <r>
    <x v="2"/>
    <x v="38"/>
    <n v="2"/>
    <x v="5"/>
    <s v="S275J2"/>
    <s v="CE259577"/>
    <m/>
    <n v="1459.26"/>
    <n v="60.3"/>
    <n v="729.63"/>
    <n v="1"/>
    <m/>
    <m/>
    <m/>
    <m/>
    <m/>
    <n v="2"/>
  </r>
  <r>
    <x v="2"/>
    <x v="38"/>
    <n v="1"/>
    <x v="5"/>
    <s v="S275J2"/>
    <n v="156159"/>
    <m/>
    <n v="729.63"/>
    <n v="60.3"/>
    <n v="729.63"/>
    <n v="1"/>
    <m/>
    <m/>
    <m/>
    <m/>
    <m/>
    <n v="1"/>
  </r>
  <r>
    <x v="2"/>
    <x v="38"/>
    <n v="3"/>
    <x v="5"/>
    <m/>
    <m/>
    <m/>
    <n v="2188.89"/>
    <n v="60.3"/>
    <n v="729.63"/>
    <n v="3"/>
    <m/>
    <m/>
    <m/>
    <m/>
    <m/>
    <n v="3"/>
  </r>
  <r>
    <x v="2"/>
    <x v="38"/>
    <n v="2"/>
    <x v="5"/>
    <m/>
    <m/>
    <m/>
    <n v="1459.26"/>
    <n v="60.3"/>
    <n v="729.63"/>
    <n v="3"/>
    <m/>
    <m/>
    <m/>
    <m/>
    <m/>
    <n v="2"/>
  </r>
  <r>
    <x v="2"/>
    <x v="38"/>
    <n v="1"/>
    <x v="30"/>
    <m/>
    <m/>
    <m/>
    <n v="84.42"/>
    <n v="60.3"/>
    <n v="84.42"/>
    <n v="8"/>
    <m/>
    <m/>
    <m/>
    <m/>
    <m/>
    <n v="1"/>
  </r>
  <r>
    <x v="2"/>
    <x v="38"/>
    <n v="1"/>
    <x v="31"/>
    <m/>
    <m/>
    <m/>
    <n v="247.23"/>
    <n v="60.3"/>
    <n v="247.23"/>
    <n v="9"/>
    <m/>
    <m/>
    <m/>
    <m/>
    <m/>
    <n v="1"/>
  </r>
  <r>
    <x v="2"/>
    <x v="38"/>
    <n v="1"/>
    <x v="22"/>
    <m/>
    <m/>
    <m/>
    <n v="241.2"/>
    <n v="60.3"/>
    <n v="241.2"/>
    <n v="9"/>
    <m/>
    <m/>
    <m/>
    <m/>
    <m/>
    <n v="1"/>
  </r>
  <r>
    <x v="2"/>
    <x v="38"/>
    <n v="1"/>
    <x v="32"/>
    <m/>
    <m/>
    <m/>
    <n v="159.79499999999999"/>
    <n v="60.3"/>
    <n v="159.79499999999999"/>
    <n v="9"/>
    <m/>
    <m/>
    <m/>
    <m/>
    <m/>
    <n v="1"/>
  </r>
  <r>
    <x v="2"/>
    <x v="38"/>
    <n v="4"/>
    <x v="33"/>
    <m/>
    <m/>
    <m/>
    <n v="482.4"/>
    <n v="60.3"/>
    <n v="120.6"/>
    <n v="9"/>
    <m/>
    <m/>
    <m/>
    <m/>
    <m/>
    <n v="4"/>
  </r>
  <r>
    <x v="2"/>
    <x v="38"/>
    <n v="2"/>
    <x v="15"/>
    <m/>
    <m/>
    <m/>
    <n v="253.26"/>
    <n v="60.3"/>
    <n v="126.63"/>
    <n v="9"/>
    <m/>
    <m/>
    <m/>
    <m/>
    <m/>
    <n v="2"/>
  </r>
  <r>
    <x v="2"/>
    <x v="38"/>
    <n v="3"/>
    <x v="18"/>
    <m/>
    <m/>
    <m/>
    <n v="470.34000000000003"/>
    <n v="60.3"/>
    <n v="156.78"/>
    <n v="10"/>
    <m/>
    <m/>
    <m/>
    <m/>
    <m/>
    <n v="3"/>
  </r>
  <r>
    <x v="2"/>
    <x v="38"/>
    <n v="6"/>
    <x v="14"/>
    <m/>
    <m/>
    <m/>
    <n v="687.42"/>
    <n v="60.3"/>
    <n v="114.57"/>
    <n v="10"/>
    <m/>
    <m/>
    <m/>
    <m/>
    <m/>
    <n v="6"/>
  </r>
  <r>
    <x v="2"/>
    <x v="38"/>
    <n v="9"/>
    <x v="15"/>
    <m/>
    <m/>
    <m/>
    <n v="1139.67"/>
    <n v="60.3"/>
    <n v="126.63"/>
    <n v="10"/>
    <m/>
    <m/>
    <m/>
    <m/>
    <m/>
    <n v="9"/>
  </r>
  <r>
    <x v="2"/>
    <x v="38"/>
    <n v="6"/>
    <x v="10"/>
    <m/>
    <m/>
    <m/>
    <n v="868.31999999999994"/>
    <n v="60.3"/>
    <n v="144.72"/>
    <n v="10"/>
    <m/>
    <m/>
    <m/>
    <m/>
    <m/>
    <n v="6"/>
  </r>
  <r>
    <x v="2"/>
    <x v="39"/>
    <n v="1"/>
    <x v="34"/>
    <s v="08143A"/>
    <m/>
    <m/>
    <n v="518.32000000000005"/>
    <n v="68.2"/>
    <n v="518.32000000000005"/>
    <n v="9"/>
    <m/>
    <m/>
    <m/>
    <m/>
    <m/>
    <n v="1"/>
  </r>
  <r>
    <x v="2"/>
    <x v="40"/>
    <n v="6"/>
    <x v="5"/>
    <s v="S355J2"/>
    <s v="DUF155874"/>
    <s v="25_60"/>
    <n v="5546.6400000000012"/>
    <n v="76.400000000000006"/>
    <n v="924.44000000000017"/>
    <n v="1"/>
    <m/>
    <m/>
    <m/>
    <m/>
    <m/>
    <n v="6"/>
  </r>
  <r>
    <x v="2"/>
    <x v="40"/>
    <n v="6"/>
    <x v="35"/>
    <s v="S275J2"/>
    <n v="158635"/>
    <m/>
    <n v="6142.56"/>
    <n v="76.400000000000006"/>
    <n v="1023.7600000000001"/>
    <n v="1"/>
    <m/>
    <m/>
    <m/>
    <m/>
    <m/>
    <n v="6"/>
  </r>
  <r>
    <x v="2"/>
    <x v="40"/>
    <n v="6"/>
    <x v="36"/>
    <s v="S275J2"/>
    <n v="156891"/>
    <m/>
    <n v="5959.2000000000007"/>
    <n v="76.400000000000006"/>
    <n v="993.20000000000016"/>
    <n v="1"/>
    <m/>
    <m/>
    <m/>
    <m/>
    <m/>
    <n v="6"/>
  </r>
  <r>
    <x v="2"/>
    <x v="40"/>
    <n v="6"/>
    <x v="37"/>
    <s v="S275J2"/>
    <n v="156891"/>
    <m/>
    <n v="4584"/>
    <n v="76.400000000000006"/>
    <n v="764"/>
    <n v="1"/>
    <m/>
    <m/>
    <m/>
    <m/>
    <m/>
    <n v="6"/>
  </r>
  <r>
    <x v="2"/>
    <x v="40"/>
    <n v="2"/>
    <x v="29"/>
    <m/>
    <m/>
    <m/>
    <n v="259.76000000000005"/>
    <n v="76.400000000000006"/>
    <n v="129.88000000000002"/>
    <n v="12"/>
    <m/>
    <m/>
    <m/>
    <m/>
    <m/>
    <n v="2"/>
  </r>
  <r>
    <x v="2"/>
    <x v="41"/>
    <n v="1"/>
    <x v="5"/>
    <m/>
    <m/>
    <m/>
    <n v="1068.43"/>
    <n v="88.3"/>
    <n v="1068.43"/>
    <n v="4"/>
    <m/>
    <m/>
    <m/>
    <m/>
    <m/>
    <n v="1"/>
  </r>
  <r>
    <x v="2"/>
    <x v="41"/>
    <n v="1"/>
    <x v="7"/>
    <m/>
    <m/>
    <m/>
    <n v="203.09"/>
    <n v="88.3"/>
    <n v="203.09"/>
    <n v="11"/>
    <m/>
    <m/>
    <m/>
    <m/>
    <m/>
    <n v="1"/>
  </r>
  <r>
    <x v="2"/>
    <x v="41"/>
    <n v="1"/>
    <x v="38"/>
    <m/>
    <m/>
    <m/>
    <n v="406.18"/>
    <n v="88.3"/>
    <n v="406.18"/>
    <n v="11"/>
    <m/>
    <m/>
    <m/>
    <m/>
    <m/>
    <n v="1"/>
  </r>
  <r>
    <x v="2"/>
    <x v="41"/>
    <n v="1"/>
    <x v="14"/>
    <m/>
    <m/>
    <m/>
    <n v="167.77"/>
    <n v="88.3"/>
    <n v="167.77"/>
    <n v="12"/>
    <m/>
    <m/>
    <m/>
    <m/>
    <m/>
    <n v="1"/>
  </r>
  <r>
    <x v="2"/>
    <x v="41"/>
    <n v="1"/>
    <x v="10"/>
    <m/>
    <m/>
    <m/>
    <n v="211.92"/>
    <n v="88.3"/>
    <n v="211.92"/>
    <n v="12"/>
    <m/>
    <m/>
    <m/>
    <m/>
    <m/>
    <n v="1"/>
  </r>
  <r>
    <x v="2"/>
    <x v="41"/>
    <n v="1"/>
    <x v="15"/>
    <m/>
    <m/>
    <m/>
    <n v="185.43"/>
    <n v="88.3"/>
    <n v="185.43"/>
    <n v="12"/>
    <m/>
    <m/>
    <m/>
    <m/>
    <m/>
    <n v="1"/>
  </r>
  <r>
    <x v="2"/>
    <x v="41"/>
    <n v="5"/>
    <x v="39"/>
    <m/>
    <m/>
    <m/>
    <n v="441.5"/>
    <n v="88.3"/>
    <n v="88.3"/>
    <n v="12"/>
    <m/>
    <m/>
    <m/>
    <m/>
    <m/>
    <n v="5"/>
  </r>
  <r>
    <x v="2"/>
    <x v="41"/>
    <n v="6"/>
    <x v="40"/>
    <m/>
    <m/>
    <m/>
    <n v="609.27"/>
    <n v="88.3"/>
    <n v="101.545"/>
    <n v="12"/>
    <m/>
    <m/>
    <m/>
    <m/>
    <m/>
    <n v="6"/>
  </r>
  <r>
    <x v="2"/>
    <x v="41"/>
    <n v="5"/>
    <x v="41"/>
    <s v="S355"/>
    <n v="26481"/>
    <m/>
    <n v="596.02499999999998"/>
    <n v="88.3"/>
    <n v="119.205"/>
    <n v="12"/>
    <m/>
    <m/>
    <m/>
    <m/>
    <m/>
    <n v="5"/>
  </r>
  <r>
    <x v="2"/>
    <x v="41"/>
    <n v="3"/>
    <x v="42"/>
    <s v="S355"/>
    <n v="26481"/>
    <m/>
    <n v="516.55500000000006"/>
    <n v="88.3"/>
    <n v="172.185"/>
    <n v="12"/>
    <m/>
    <m/>
    <m/>
    <m/>
    <m/>
    <n v="3"/>
  </r>
  <r>
    <x v="2"/>
    <x v="41"/>
    <n v="2"/>
    <x v="29"/>
    <s v="S355"/>
    <n v="26481"/>
    <m/>
    <n v="300.22000000000003"/>
    <n v="88.3"/>
    <n v="150.11000000000001"/>
    <n v="12"/>
    <m/>
    <m/>
    <m/>
    <m/>
    <m/>
    <n v="2"/>
  </r>
  <r>
    <x v="2"/>
    <x v="41"/>
    <n v="1"/>
    <x v="43"/>
    <s v="S355"/>
    <n v="26481"/>
    <m/>
    <n v="105.96"/>
    <n v="88.3"/>
    <n v="105.96"/>
    <n v="12"/>
    <m/>
    <m/>
    <m/>
    <m/>
    <m/>
    <n v="1"/>
  </r>
  <r>
    <x v="2"/>
    <x v="41"/>
    <n v="9"/>
    <x v="23"/>
    <s v="S355"/>
    <n v="26481"/>
    <m/>
    <n v="1271.52"/>
    <n v="88.3"/>
    <n v="141.28"/>
    <n v="12"/>
    <m/>
    <m/>
    <m/>
    <m/>
    <m/>
    <n v="9"/>
  </r>
  <r>
    <x v="2"/>
    <x v="41"/>
    <n v="3"/>
    <x v="15"/>
    <s v="S355"/>
    <n v="67334"/>
    <m/>
    <n v="556.29"/>
    <n v="88.3"/>
    <n v="185.43"/>
    <n v="12"/>
    <m/>
    <m/>
    <m/>
    <m/>
    <m/>
    <n v="3"/>
  </r>
  <r>
    <x v="2"/>
    <x v="41"/>
    <n v="4"/>
    <x v="44"/>
    <s v="S355"/>
    <n v="81698"/>
    <m/>
    <n v="1483.44"/>
    <n v="88.3"/>
    <n v="370.86"/>
    <n v="12"/>
    <m/>
    <m/>
    <m/>
    <m/>
    <m/>
    <n v="4"/>
  </r>
  <r>
    <x v="2"/>
    <x v="42"/>
    <n v="1"/>
    <x v="45"/>
    <s v="S355J0"/>
    <n v="20074"/>
    <m/>
    <n v="1288.32"/>
    <n v="97.6"/>
    <n v="1288.32"/>
    <n v="2"/>
    <m/>
    <m/>
    <m/>
    <m/>
    <m/>
    <n v="1"/>
  </r>
  <r>
    <x v="2"/>
    <x v="42"/>
    <n v="1"/>
    <x v="46"/>
    <s v="S355J0"/>
    <n v="20074"/>
    <m/>
    <n v="751.52"/>
    <n v="97.6"/>
    <n v="751.52"/>
    <n v="2"/>
    <m/>
    <m/>
    <m/>
    <m/>
    <m/>
    <n v="1"/>
  </r>
  <r>
    <x v="2"/>
    <x v="42"/>
    <n v="1"/>
    <x v="14"/>
    <s v="S355J0"/>
    <n v="20197"/>
    <m/>
    <n v="185.44"/>
    <n v="97.6"/>
    <n v="185.44"/>
    <n v="9"/>
    <m/>
    <m/>
    <m/>
    <m/>
    <m/>
    <n v="1"/>
  </r>
  <r>
    <x v="2"/>
    <x v="42"/>
    <n v="4"/>
    <x v="10"/>
    <s v="S355J0"/>
    <n v="20074"/>
    <m/>
    <n v="936.96"/>
    <n v="97.6"/>
    <n v="234.24"/>
    <n v="9"/>
    <m/>
    <m/>
    <m/>
    <m/>
    <m/>
    <n v="4"/>
  </r>
  <r>
    <x v="2"/>
    <x v="43"/>
    <n v="1"/>
    <x v="28"/>
    <m/>
    <m/>
    <m/>
    <n v="350"/>
    <n v="140"/>
    <n v="350"/>
    <n v="12"/>
    <m/>
    <m/>
    <m/>
    <m/>
    <m/>
    <n v="1"/>
  </r>
  <r>
    <x v="2"/>
    <x v="44"/>
    <n v="1"/>
    <x v="5"/>
    <m/>
    <m/>
    <m/>
    <n v="2153.8000000000002"/>
    <n v="178"/>
    <n v="2153.8000000000002"/>
    <n v="13"/>
    <m/>
    <m/>
    <m/>
    <m/>
    <m/>
    <n v="1"/>
  </r>
  <r>
    <x v="2"/>
    <x v="44"/>
    <n v="1"/>
    <x v="47"/>
    <s v="S355J2"/>
    <n v="61454"/>
    <m/>
    <n v="1619.8"/>
    <n v="178"/>
    <n v="1619.8"/>
    <n v="13"/>
    <m/>
    <m/>
    <m/>
    <m/>
    <m/>
    <n v="1"/>
  </r>
  <r>
    <x v="2"/>
    <x v="45"/>
    <n v="1"/>
    <x v="43"/>
    <m/>
    <m/>
    <m/>
    <n v="32.04"/>
    <n v="26.7"/>
    <n v="32.04"/>
    <n v="11"/>
    <m/>
    <m/>
    <m/>
    <m/>
    <m/>
    <n v="1"/>
  </r>
  <r>
    <x v="2"/>
    <x v="46"/>
    <n v="2"/>
    <x v="5"/>
    <m/>
    <m/>
    <m/>
    <n v="815.54000000000008"/>
    <n v="33.700000000000003"/>
    <n v="407.77000000000004"/>
    <n v="4"/>
    <m/>
    <m/>
    <m/>
    <m/>
    <m/>
    <n v="2"/>
  </r>
  <r>
    <x v="2"/>
    <x v="46"/>
    <n v="1"/>
    <x v="48"/>
    <m/>
    <m/>
    <m/>
    <n v="43.810000000000009"/>
    <n v="33.700000000000003"/>
    <n v="43.810000000000009"/>
    <n v="11"/>
    <m/>
    <m/>
    <m/>
    <m/>
    <m/>
    <n v="1"/>
  </r>
  <r>
    <x v="2"/>
    <x v="47"/>
    <n v="2"/>
    <x v="5"/>
    <m/>
    <m/>
    <m/>
    <n v="1030.92"/>
    <n v="42.6"/>
    <n v="515.46"/>
    <n v="4"/>
    <m/>
    <m/>
    <m/>
    <m/>
    <m/>
    <n v="2"/>
  </r>
  <r>
    <x v="2"/>
    <x v="47"/>
    <n v="1"/>
    <x v="34"/>
    <m/>
    <m/>
    <m/>
    <n v="323.76"/>
    <n v="42.6"/>
    <n v="323.76"/>
    <n v="4"/>
    <m/>
    <m/>
    <m/>
    <m/>
    <m/>
    <n v="1"/>
  </r>
  <r>
    <x v="2"/>
    <x v="48"/>
    <n v="6"/>
    <x v="5"/>
    <m/>
    <m/>
    <m/>
    <n v="3717.12"/>
    <n v="51.2"/>
    <n v="619.52"/>
    <n v="1"/>
    <m/>
    <m/>
    <m/>
    <m/>
    <m/>
    <n v="6"/>
  </r>
  <r>
    <x v="2"/>
    <x v="48"/>
    <n v="1"/>
    <x v="32"/>
    <m/>
    <m/>
    <m/>
    <n v="135.68"/>
    <n v="51.2"/>
    <n v="135.68"/>
    <n v="3"/>
    <m/>
    <m/>
    <m/>
    <m/>
    <m/>
    <n v="1"/>
  </r>
  <r>
    <x v="2"/>
    <x v="48"/>
    <n v="2"/>
    <x v="5"/>
    <m/>
    <m/>
    <m/>
    <n v="1239.04"/>
    <n v="51.2"/>
    <n v="619.52"/>
    <n v="4"/>
    <m/>
    <m/>
    <m/>
    <m/>
    <m/>
    <n v="2"/>
  </r>
  <r>
    <x v="2"/>
    <x v="48"/>
    <n v="1"/>
    <x v="49"/>
    <m/>
    <m/>
    <m/>
    <n v="76.8"/>
    <n v="51.2"/>
    <n v="76.8"/>
    <n v="5"/>
    <m/>
    <m/>
    <m/>
    <m/>
    <m/>
    <n v="1"/>
  </r>
  <r>
    <x v="2"/>
    <x v="48"/>
    <n v="4"/>
    <x v="50"/>
    <s v="S355J0"/>
    <s v="94891A"/>
    <m/>
    <n v="2764.8"/>
    <n v="51.2"/>
    <n v="691.2"/>
    <n v="5"/>
    <d v="2026-05-20T00:00:00"/>
    <n v="3"/>
    <m/>
    <m/>
    <m/>
    <n v="1"/>
  </r>
  <r>
    <x v="2"/>
    <x v="48"/>
    <n v="4"/>
    <x v="51"/>
    <m/>
    <m/>
    <m/>
    <n v="880.64"/>
    <n v="51.2"/>
    <n v="220.16"/>
    <n v="6"/>
    <m/>
    <m/>
    <m/>
    <m/>
    <m/>
    <n v="4"/>
  </r>
  <r>
    <x v="2"/>
    <x v="48"/>
    <n v="1"/>
    <x v="52"/>
    <m/>
    <m/>
    <m/>
    <n v="322.56"/>
    <n v="51.2"/>
    <n v="322.56"/>
    <n v="6"/>
    <m/>
    <m/>
    <m/>
    <m/>
    <m/>
    <n v="1"/>
  </r>
  <r>
    <x v="2"/>
    <x v="48"/>
    <n v="5"/>
    <x v="24"/>
    <m/>
    <m/>
    <m/>
    <n v="460.79999999999995"/>
    <n v="51.2"/>
    <n v="92.16"/>
    <n v="11"/>
    <m/>
    <m/>
    <m/>
    <m/>
    <m/>
    <n v="5"/>
  </r>
  <r>
    <x v="2"/>
    <x v="49"/>
    <n v="1"/>
    <x v="47"/>
    <m/>
    <m/>
    <m/>
    <n v="557.83000000000004"/>
    <n v="61.3"/>
    <n v="557.83000000000004"/>
    <n v="4"/>
    <m/>
    <m/>
    <m/>
    <m/>
    <m/>
    <n v="1"/>
  </r>
  <r>
    <x v="2"/>
    <x v="49"/>
    <n v="4"/>
    <x v="5"/>
    <m/>
    <m/>
    <m/>
    <n v="2966.92"/>
    <n v="61.3"/>
    <n v="741.73"/>
    <n v="4"/>
    <m/>
    <m/>
    <m/>
    <m/>
    <m/>
    <n v="4"/>
  </r>
  <r>
    <x v="2"/>
    <x v="49"/>
    <n v="1"/>
    <x v="53"/>
    <s v="S355"/>
    <s v="5517B"/>
    <m/>
    <n v="373.93"/>
    <n v="61.3"/>
    <n v="373.93"/>
    <n v="10"/>
    <m/>
    <m/>
    <m/>
    <m/>
    <m/>
    <n v="1"/>
  </r>
  <r>
    <x v="2"/>
    <x v="49"/>
    <n v="1"/>
    <x v="10"/>
    <m/>
    <m/>
    <m/>
    <n v="147.12"/>
    <n v="61.3"/>
    <n v="147.12"/>
    <n v="11"/>
    <m/>
    <m/>
    <m/>
    <m/>
    <m/>
    <n v="1"/>
  </r>
  <r>
    <x v="2"/>
    <x v="50"/>
    <n v="1"/>
    <x v="5"/>
    <m/>
    <m/>
    <m/>
    <n v="865.15"/>
    <n v="71.5"/>
    <n v="865.15"/>
    <n v="3"/>
    <m/>
    <m/>
    <m/>
    <m/>
    <m/>
    <n v="1"/>
  </r>
  <r>
    <x v="2"/>
    <x v="50"/>
    <n v="1"/>
    <x v="48"/>
    <m/>
    <m/>
    <m/>
    <n v="92.95"/>
    <n v="71.5"/>
    <n v="92.95"/>
    <n v="11"/>
    <m/>
    <m/>
    <m/>
    <m/>
    <m/>
    <n v="1"/>
  </r>
  <r>
    <x v="2"/>
    <x v="50"/>
    <n v="2"/>
    <x v="54"/>
    <m/>
    <m/>
    <m/>
    <n v="715"/>
    <n v="71.5"/>
    <n v="357.5"/>
    <n v="12"/>
    <m/>
    <m/>
    <m/>
    <m/>
    <m/>
    <n v="2"/>
  </r>
  <r>
    <x v="2"/>
    <x v="51"/>
    <n v="6"/>
    <x v="50"/>
    <s v="S355J0"/>
    <n v="630548"/>
    <m/>
    <n v="6739.2000000000007"/>
    <n v="83.2"/>
    <n v="1123.2"/>
    <n v="1"/>
    <m/>
    <m/>
    <m/>
    <m/>
    <m/>
    <n v="6"/>
  </r>
  <r>
    <x v="2"/>
    <x v="51"/>
    <n v="3"/>
    <x v="55"/>
    <s v="S355J0"/>
    <n v="630548"/>
    <s v="25_53"/>
    <n v="3045.12"/>
    <n v="83.2"/>
    <n v="1015.04"/>
    <n v="2"/>
    <m/>
    <m/>
    <m/>
    <m/>
    <m/>
    <n v="3"/>
  </r>
  <r>
    <x v="2"/>
    <x v="51"/>
    <n v="1"/>
    <x v="56"/>
    <m/>
    <m/>
    <m/>
    <n v="648.96"/>
    <n v="83.2"/>
    <n v="648.96"/>
    <n v="4"/>
    <m/>
    <m/>
    <m/>
    <m/>
    <m/>
    <n v="1"/>
  </r>
  <r>
    <x v="2"/>
    <x v="51"/>
    <n v="2"/>
    <x v="5"/>
    <s v="S275JR"/>
    <m/>
    <m/>
    <n v="2013.44"/>
    <n v="83.2"/>
    <n v="1006.72"/>
    <n v="4"/>
    <m/>
    <m/>
    <m/>
    <m/>
    <m/>
    <n v="2"/>
  </r>
  <r>
    <x v="2"/>
    <x v="51"/>
    <n v="1"/>
    <x v="57"/>
    <m/>
    <m/>
    <m/>
    <n v="740.48"/>
    <n v="83.2"/>
    <n v="740.48"/>
    <n v="4"/>
    <m/>
    <m/>
    <m/>
    <m/>
    <m/>
    <n v="1"/>
  </r>
  <r>
    <x v="2"/>
    <x v="51"/>
    <n v="1"/>
    <x v="58"/>
    <m/>
    <m/>
    <m/>
    <n v="673.92"/>
    <n v="83.2"/>
    <n v="673.92"/>
    <n v="4"/>
    <m/>
    <m/>
    <m/>
    <m/>
    <m/>
    <n v="1"/>
  </r>
  <r>
    <x v="2"/>
    <x v="51"/>
    <n v="2"/>
    <x v="5"/>
    <m/>
    <m/>
    <m/>
    <n v="2013.44"/>
    <n v="83.2"/>
    <n v="1006.72"/>
    <n v="6"/>
    <m/>
    <m/>
    <m/>
    <m/>
    <m/>
    <n v="2"/>
  </r>
  <r>
    <x v="2"/>
    <x v="51"/>
    <n v="1"/>
    <x v="59"/>
    <s v="S355J0"/>
    <n v="630548"/>
    <m/>
    <n v="773.76"/>
    <n v="83.2"/>
    <n v="773.76"/>
    <n v="7"/>
    <m/>
    <m/>
    <m/>
    <m/>
    <m/>
    <n v="1"/>
  </r>
  <r>
    <x v="2"/>
    <x v="51"/>
    <n v="5"/>
    <x v="55"/>
    <s v="S355J0"/>
    <n v="630548"/>
    <m/>
    <n v="5075.2"/>
    <n v="83.2"/>
    <n v="1015.04"/>
    <n v="7"/>
    <m/>
    <m/>
    <m/>
    <m/>
    <m/>
    <n v="5"/>
  </r>
  <r>
    <x v="2"/>
    <x v="51"/>
    <n v="2"/>
    <x v="60"/>
    <s v="S355J0"/>
    <n v="630548"/>
    <m/>
    <n v="2063.36"/>
    <n v="83.2"/>
    <n v="1031.68"/>
    <n v="7"/>
    <m/>
    <m/>
    <m/>
    <m/>
    <m/>
    <n v="2"/>
  </r>
  <r>
    <x v="2"/>
    <x v="51"/>
    <n v="5"/>
    <x v="10"/>
    <m/>
    <m/>
    <m/>
    <n v="998.40000000000009"/>
    <n v="83.2"/>
    <n v="199.68"/>
    <n v="10"/>
    <m/>
    <m/>
    <m/>
    <m/>
    <m/>
    <n v="5"/>
  </r>
  <r>
    <x v="2"/>
    <x v="52"/>
    <n v="3"/>
    <x v="5"/>
    <m/>
    <m/>
    <m/>
    <n v="3738.8999999999996"/>
    <n v="103"/>
    <n v="1246.3"/>
    <n v="2"/>
    <m/>
    <m/>
    <m/>
    <m/>
    <m/>
    <n v="3"/>
  </r>
  <r>
    <x v="2"/>
    <x v="52"/>
    <n v="6"/>
    <x v="61"/>
    <s v="S355J0"/>
    <n v="631104"/>
    <s v="25_60"/>
    <n v="6489"/>
    <n v="103"/>
    <n v="1081.5"/>
    <n v="2"/>
    <d v="2026-05-15T00:00:00"/>
    <n v="5"/>
    <m/>
    <m/>
    <m/>
    <n v="1"/>
  </r>
  <r>
    <x v="2"/>
    <x v="52"/>
    <n v="3"/>
    <x v="47"/>
    <s v="S355J0"/>
    <n v="631104"/>
    <s v="25_60"/>
    <n v="2811.8999999999996"/>
    <n v="103"/>
    <n v="937.3"/>
    <n v="2"/>
    <d v="2026-05-15T00:00:00"/>
    <n v="1"/>
    <m/>
    <m/>
    <m/>
    <n v="2"/>
  </r>
  <r>
    <x v="2"/>
    <x v="52"/>
    <n v="4"/>
    <x v="61"/>
    <s v="S355J0"/>
    <n v="631104"/>
    <s v="25_60"/>
    <n v="4326"/>
    <n v="103"/>
    <n v="1081.5"/>
    <n v="2"/>
    <m/>
    <m/>
    <m/>
    <m/>
    <m/>
    <n v="4"/>
  </r>
  <r>
    <x v="2"/>
    <x v="52"/>
    <n v="6"/>
    <x v="47"/>
    <s v="S355J0"/>
    <n v="631104"/>
    <s v="25_60"/>
    <n v="5623.7999999999993"/>
    <n v="103"/>
    <n v="937.3"/>
    <n v="2"/>
    <m/>
    <m/>
    <m/>
    <m/>
    <m/>
    <n v="6"/>
  </r>
  <r>
    <x v="2"/>
    <x v="52"/>
    <n v="1"/>
    <x v="5"/>
    <m/>
    <m/>
    <m/>
    <n v="1246.3"/>
    <n v="103"/>
    <n v="1246.3"/>
    <n v="4"/>
    <m/>
    <m/>
    <m/>
    <m/>
    <m/>
    <n v="1"/>
  </r>
  <r>
    <x v="2"/>
    <x v="52"/>
    <n v="2"/>
    <x v="5"/>
    <m/>
    <m/>
    <m/>
    <n v="2492.6"/>
    <n v="103"/>
    <n v="1246.3"/>
    <n v="7"/>
    <m/>
    <m/>
    <m/>
    <m/>
    <m/>
    <n v="2"/>
  </r>
  <r>
    <x v="2"/>
    <x v="52"/>
    <n v="2"/>
    <x v="47"/>
    <m/>
    <m/>
    <m/>
    <n v="1874.6"/>
    <n v="103"/>
    <n v="937.3"/>
    <n v="7"/>
    <m/>
    <m/>
    <m/>
    <m/>
    <m/>
    <n v="2"/>
  </r>
  <r>
    <x v="2"/>
    <x v="52"/>
    <n v="2"/>
    <x v="5"/>
    <m/>
    <m/>
    <m/>
    <n v="2492.6"/>
    <n v="103"/>
    <n v="1246.3"/>
    <n v="7"/>
    <m/>
    <m/>
    <m/>
    <m/>
    <m/>
    <n v="2"/>
  </r>
  <r>
    <x v="2"/>
    <x v="52"/>
    <n v="1"/>
    <x v="51"/>
    <m/>
    <m/>
    <m/>
    <n v="442.9"/>
    <n v="103"/>
    <n v="442.9"/>
    <n v="9"/>
    <m/>
    <m/>
    <m/>
    <m/>
    <m/>
    <n v="1"/>
  </r>
  <r>
    <x v="2"/>
    <x v="53"/>
    <n v="1"/>
    <x v="62"/>
    <s v="S355J0"/>
    <n v="630104"/>
    <s v="25_58"/>
    <n v="1462.5"/>
    <n v="117"/>
    <n v="1462.5"/>
    <n v="1"/>
    <m/>
    <m/>
    <m/>
    <m/>
    <m/>
    <n v="1"/>
  </r>
  <r>
    <x v="2"/>
    <x v="53"/>
    <n v="3"/>
    <x v="63"/>
    <s v="S355J0"/>
    <n v="513718"/>
    <s v="25_58"/>
    <n v="3896.1000000000004"/>
    <n v="117"/>
    <n v="1298.7"/>
    <n v="2"/>
    <m/>
    <m/>
    <m/>
    <m/>
    <m/>
    <n v="3"/>
  </r>
  <r>
    <x v="2"/>
    <x v="53"/>
    <n v="2"/>
    <x v="64"/>
    <s v="S355J0"/>
    <n v="513718"/>
    <s v="25_58"/>
    <n v="2059.1999999999998"/>
    <n v="117"/>
    <n v="1029.5999999999999"/>
    <n v="2"/>
    <m/>
    <m/>
    <m/>
    <m/>
    <m/>
    <n v="2"/>
  </r>
  <r>
    <x v="2"/>
    <x v="53"/>
    <n v="2"/>
    <x v="5"/>
    <m/>
    <m/>
    <m/>
    <n v="2831.4"/>
    <n v="117"/>
    <n v="1415.7"/>
    <n v="4"/>
    <m/>
    <m/>
    <m/>
    <m/>
    <m/>
    <n v="2"/>
  </r>
  <r>
    <x v="2"/>
    <x v="53"/>
    <n v="4"/>
    <x v="5"/>
    <s v="S355JR"/>
    <n v="26465"/>
    <m/>
    <n v="5662.8"/>
    <n v="117"/>
    <n v="1415.7"/>
    <n v="5"/>
    <m/>
    <m/>
    <m/>
    <m/>
    <m/>
    <n v="4"/>
  </r>
  <r>
    <x v="2"/>
    <x v="53"/>
    <n v="2"/>
    <x v="60"/>
    <s v="S355JR"/>
    <n v="81674"/>
    <m/>
    <n v="2901.6"/>
    <n v="117"/>
    <n v="1450.8"/>
    <n v="5"/>
    <m/>
    <m/>
    <m/>
    <m/>
    <m/>
    <n v="2"/>
  </r>
  <r>
    <x v="2"/>
    <x v="53"/>
    <n v="1"/>
    <x v="50"/>
    <s v="S355J2"/>
    <s v="05459"/>
    <m/>
    <n v="1579.5"/>
    <n v="117"/>
    <n v="1579.5"/>
    <n v="7"/>
    <m/>
    <m/>
    <m/>
    <m/>
    <m/>
    <n v="1"/>
  </r>
  <r>
    <x v="2"/>
    <x v="53"/>
    <n v="2"/>
    <x v="50"/>
    <s v="S355J2"/>
    <s v="05458"/>
    <m/>
    <n v="3159"/>
    <n v="117"/>
    <n v="1579.5"/>
    <n v="7"/>
    <m/>
    <m/>
    <m/>
    <m/>
    <m/>
    <n v="2"/>
  </r>
  <r>
    <x v="2"/>
    <x v="53"/>
    <n v="3"/>
    <x v="59"/>
    <s v="S355J0"/>
    <n v="513718"/>
    <m/>
    <n v="3264.2999999999997"/>
    <n v="117"/>
    <n v="1088.0999999999999"/>
    <n v="7"/>
    <m/>
    <m/>
    <m/>
    <m/>
    <m/>
    <n v="3"/>
  </r>
  <r>
    <x v="2"/>
    <x v="53"/>
    <n v="4"/>
    <x v="64"/>
    <s v="S355J0"/>
    <n v="513718"/>
    <m/>
    <n v="4118.3999999999996"/>
    <n v="117"/>
    <n v="1029.5999999999999"/>
    <n v="7"/>
    <m/>
    <m/>
    <m/>
    <m/>
    <m/>
    <n v="4"/>
  </r>
  <r>
    <x v="2"/>
    <x v="53"/>
    <n v="4"/>
    <x v="64"/>
    <s v="S355J0"/>
    <n v="513718"/>
    <m/>
    <n v="4118.3999999999996"/>
    <n v="117"/>
    <n v="1029.5999999999999"/>
    <n v="7"/>
    <m/>
    <m/>
    <m/>
    <m/>
    <m/>
    <n v="4"/>
  </r>
  <r>
    <x v="2"/>
    <x v="53"/>
    <n v="1"/>
    <x v="14"/>
    <m/>
    <m/>
    <m/>
    <n v="222.3"/>
    <n v="117"/>
    <n v="222.3"/>
    <n v="8"/>
    <m/>
    <m/>
    <m/>
    <m/>
    <m/>
    <n v="1"/>
  </r>
  <r>
    <x v="2"/>
    <x v="53"/>
    <n v="1"/>
    <x v="54"/>
    <m/>
    <m/>
    <m/>
    <n v="585"/>
    <n v="117"/>
    <n v="585"/>
    <n v="8"/>
    <m/>
    <m/>
    <m/>
    <m/>
    <m/>
    <n v="1"/>
  </r>
  <r>
    <x v="2"/>
    <x v="53"/>
    <n v="1"/>
    <x v="54"/>
    <m/>
    <m/>
    <m/>
    <n v="585"/>
    <n v="117"/>
    <n v="585"/>
    <n v="8"/>
    <m/>
    <m/>
    <m/>
    <m/>
    <m/>
    <n v="1"/>
  </r>
  <r>
    <x v="2"/>
    <x v="53"/>
    <n v="3"/>
    <x v="65"/>
    <m/>
    <m/>
    <m/>
    <n v="508.95000000000005"/>
    <n v="117"/>
    <n v="169.65"/>
    <n v="10"/>
    <m/>
    <m/>
    <m/>
    <m/>
    <m/>
    <n v="3"/>
  </r>
  <r>
    <x v="2"/>
    <x v="53"/>
    <n v="3"/>
    <x v="27"/>
    <m/>
    <m/>
    <m/>
    <n v="1228.5"/>
    <n v="117"/>
    <n v="409.5"/>
    <n v="10"/>
    <m/>
    <m/>
    <m/>
    <m/>
    <m/>
    <n v="3"/>
  </r>
  <r>
    <x v="2"/>
    <x v="53"/>
    <n v="1"/>
    <x v="66"/>
    <m/>
    <m/>
    <m/>
    <n v="596.70000000000005"/>
    <n v="117"/>
    <n v="596.70000000000005"/>
    <n v="10"/>
    <m/>
    <m/>
    <m/>
    <m/>
    <m/>
    <n v="1"/>
  </r>
  <r>
    <x v="2"/>
    <x v="53"/>
    <n v="1"/>
    <x v="28"/>
    <m/>
    <m/>
    <m/>
    <n v="292.5"/>
    <n v="117"/>
    <n v="292.5"/>
    <n v="12"/>
    <m/>
    <m/>
    <m/>
    <m/>
    <m/>
    <n v="1"/>
  </r>
  <r>
    <x v="2"/>
    <x v="54"/>
    <n v="1"/>
    <x v="53"/>
    <s v="S355JR"/>
    <m/>
    <m/>
    <n v="774.7"/>
    <n v="127"/>
    <n v="774.7"/>
    <n v="5"/>
    <m/>
    <m/>
    <m/>
    <m/>
    <m/>
    <n v="1"/>
  </r>
  <r>
    <x v="2"/>
    <x v="54"/>
    <n v="1"/>
    <x v="49"/>
    <s v="S355JR"/>
    <m/>
    <m/>
    <n v="190.5"/>
    <n v="127"/>
    <n v="190.5"/>
    <n v="5"/>
    <m/>
    <m/>
    <m/>
    <m/>
    <m/>
    <n v="1"/>
  </r>
  <r>
    <x v="2"/>
    <x v="54"/>
    <n v="1"/>
    <x v="5"/>
    <m/>
    <m/>
    <m/>
    <n v="1536.7"/>
    <n v="127"/>
    <n v="1536.7"/>
    <n v="7"/>
    <m/>
    <m/>
    <m/>
    <m/>
    <m/>
    <n v="1"/>
  </r>
  <r>
    <x v="2"/>
    <x v="54"/>
    <n v="2"/>
    <x v="28"/>
    <m/>
    <m/>
    <m/>
    <n v="635"/>
    <n v="127"/>
    <n v="317.5"/>
    <n v="9"/>
    <m/>
    <m/>
    <m/>
    <m/>
    <m/>
    <n v="2"/>
  </r>
  <r>
    <x v="2"/>
    <x v="54"/>
    <n v="1"/>
    <x v="49"/>
    <m/>
    <m/>
    <m/>
    <n v="190.5"/>
    <n v="127"/>
    <n v="190.5"/>
    <n v="9"/>
    <m/>
    <m/>
    <m/>
    <m/>
    <m/>
    <n v="1"/>
  </r>
  <r>
    <x v="2"/>
    <x v="54"/>
    <n v="1"/>
    <x v="67"/>
    <m/>
    <m/>
    <m/>
    <n v="368.3"/>
    <n v="127"/>
    <n v="368.3"/>
    <n v="10"/>
    <m/>
    <m/>
    <m/>
    <m/>
    <m/>
    <n v="1"/>
  </r>
  <r>
    <x v="2"/>
    <x v="54"/>
    <n v="2"/>
    <x v="28"/>
    <m/>
    <m/>
    <m/>
    <n v="635"/>
    <n v="127"/>
    <n v="317.5"/>
    <n v="10"/>
    <m/>
    <m/>
    <m/>
    <m/>
    <m/>
    <n v="2"/>
  </r>
  <r>
    <x v="2"/>
    <x v="55"/>
    <n v="3"/>
    <x v="60"/>
    <s v="S355JR"/>
    <n v="83148"/>
    <m/>
    <n v="4984.7999999999993"/>
    <n v="134"/>
    <n v="1661.6"/>
    <n v="5"/>
    <m/>
    <m/>
    <m/>
    <m/>
    <m/>
    <n v="3"/>
  </r>
  <r>
    <x v="2"/>
    <x v="55"/>
    <n v="1"/>
    <x v="68"/>
    <s v="S355JR"/>
    <n v="83245"/>
    <m/>
    <n v="1273"/>
    <n v="134"/>
    <n v="1273"/>
    <n v="5"/>
    <m/>
    <m/>
    <m/>
    <m/>
    <m/>
    <n v="1"/>
  </r>
  <r>
    <x v="2"/>
    <x v="55"/>
    <n v="1"/>
    <x v="60"/>
    <s v="S355JR"/>
    <n v="83245"/>
    <m/>
    <n v="1661.6"/>
    <n v="134"/>
    <n v="1661.6"/>
    <n v="5"/>
    <m/>
    <m/>
    <m/>
    <m/>
    <m/>
    <n v="1"/>
  </r>
  <r>
    <x v="2"/>
    <x v="55"/>
    <n v="1"/>
    <x v="22"/>
    <m/>
    <m/>
    <m/>
    <n v="536"/>
    <n v="134"/>
    <n v="536"/>
    <n v="10"/>
    <m/>
    <m/>
    <m/>
    <m/>
    <m/>
    <n v="1"/>
  </r>
  <r>
    <x v="2"/>
    <x v="56"/>
    <n v="1"/>
    <x v="68"/>
    <m/>
    <m/>
    <m/>
    <n v="1472.5"/>
    <n v="155"/>
    <n v="1472.5"/>
    <n v="5"/>
    <m/>
    <m/>
    <m/>
    <m/>
    <m/>
    <n v="1"/>
  </r>
  <r>
    <x v="2"/>
    <x v="56"/>
    <n v="1"/>
    <x v="69"/>
    <m/>
    <m/>
    <m/>
    <n v="1736"/>
    <n v="155"/>
    <n v="1736"/>
    <n v="5"/>
    <m/>
    <m/>
    <m/>
    <m/>
    <m/>
    <n v="1"/>
  </r>
  <r>
    <x v="2"/>
    <x v="56"/>
    <n v="1"/>
    <x v="70"/>
    <s v="S355"/>
    <m/>
    <m/>
    <n v="348.75"/>
    <n v="155"/>
    <n v="348.75"/>
    <n v="13"/>
    <m/>
    <m/>
    <m/>
    <m/>
    <m/>
    <n v="1"/>
  </r>
  <r>
    <x v="2"/>
    <x v="56"/>
    <n v="4"/>
    <x v="22"/>
    <m/>
    <n v="25805"/>
    <m/>
    <n v="2480"/>
    <n v="155"/>
    <n v="620"/>
    <n v="13"/>
    <m/>
    <m/>
    <m/>
    <m/>
    <m/>
    <n v="4"/>
  </r>
  <r>
    <x v="2"/>
    <x v="57"/>
    <n v="1"/>
    <x v="71"/>
    <s v="S355"/>
    <m/>
    <m/>
    <n v="1111.5"/>
    <n v="171"/>
    <n v="1111.5"/>
    <n v="7"/>
    <m/>
    <m/>
    <m/>
    <m/>
    <m/>
    <n v="1"/>
  </r>
  <r>
    <x v="2"/>
    <x v="57"/>
    <n v="1"/>
    <x v="44"/>
    <s v="S355JR"/>
    <n v="83717"/>
    <m/>
    <n v="718.2"/>
    <n v="171"/>
    <n v="718.2"/>
    <n v="12"/>
    <m/>
    <m/>
    <m/>
    <m/>
    <m/>
    <n v="1"/>
  </r>
  <r>
    <x v="2"/>
    <x v="58"/>
    <n v="1"/>
    <x v="72"/>
    <s v="S275JR"/>
    <n v="83711"/>
    <m/>
    <n v="1626.9"/>
    <n v="187"/>
    <n v="1626.9"/>
    <n v="4"/>
    <m/>
    <m/>
    <m/>
    <m/>
    <m/>
    <n v="1"/>
  </r>
  <r>
    <x v="2"/>
    <x v="59"/>
    <n v="5"/>
    <x v="5"/>
    <s v="S355JR"/>
    <n v="81443"/>
    <m/>
    <n v="12826"/>
    <n v="212"/>
    <n v="2565.1999999999998"/>
    <n v="13"/>
    <m/>
    <m/>
    <m/>
    <m/>
    <m/>
    <n v="5"/>
  </r>
  <r>
    <x v="2"/>
    <x v="59"/>
    <n v="1"/>
    <x v="25"/>
    <m/>
    <m/>
    <m/>
    <n v="1356.8"/>
    <n v="212"/>
    <n v="1356.8"/>
    <n v="13"/>
    <m/>
    <m/>
    <m/>
    <m/>
    <m/>
    <n v="1"/>
  </r>
  <r>
    <x v="2"/>
    <x v="60"/>
    <n v="1"/>
    <x v="26"/>
    <s v="S355J2"/>
    <n v="26855"/>
    <m/>
    <n v="1388.6"/>
    <n v="262"/>
    <n v="1388.6"/>
    <n v="3"/>
    <d v="2026-05-19T00:00:00"/>
    <n v="1"/>
    <m/>
    <m/>
    <m/>
    <n v="0"/>
  </r>
  <r>
    <x v="2"/>
    <x v="60"/>
    <n v="1"/>
    <x v="25"/>
    <s v="S355J2"/>
    <s v="O4556"/>
    <m/>
    <n v="1676.8"/>
    <n v="262"/>
    <n v="1676.8"/>
    <n v="3"/>
    <d v="2026-05-19T00:00:00"/>
    <n v="1"/>
    <m/>
    <m/>
    <m/>
    <n v="0"/>
  </r>
  <r>
    <x v="2"/>
    <x v="60"/>
    <n v="1"/>
    <x v="73"/>
    <s v="S355J2"/>
    <m/>
    <m/>
    <n v="2593.8000000000002"/>
    <n v="262"/>
    <n v="2593.8000000000002"/>
    <n v="3"/>
    <d v="2026-05-19T00:00:00"/>
    <n v="1"/>
    <m/>
    <m/>
    <m/>
    <n v="0"/>
  </r>
  <r>
    <x v="2"/>
    <x v="60"/>
    <n v="1"/>
    <x v="74"/>
    <s v="S355J2"/>
    <m/>
    <m/>
    <n v="2672.4"/>
    <n v="262"/>
    <n v="2672.4"/>
    <n v="3"/>
    <d v="2026-05-19T00:00:00"/>
    <n v="1"/>
    <m/>
    <m/>
    <m/>
    <n v="0"/>
  </r>
  <r>
    <x v="2"/>
    <x v="60"/>
    <n v="1"/>
    <x v="75"/>
    <s v="S355JR"/>
    <n v="80369"/>
    <m/>
    <n v="1834"/>
    <n v="262"/>
    <n v="1834"/>
    <n v="13"/>
    <d v="2026-05-19T00:00:00"/>
    <n v="1"/>
    <m/>
    <m/>
    <m/>
    <n v="0"/>
  </r>
  <r>
    <x v="2"/>
    <x v="60"/>
    <n v="1"/>
    <x v="76"/>
    <s v="S355J2"/>
    <n v="80865"/>
    <m/>
    <n v="2882"/>
    <n v="262"/>
    <n v="2882"/>
    <n v="13"/>
    <d v="2026-05-19T00:00:00"/>
    <n v="1"/>
    <m/>
    <m/>
    <m/>
    <n v="0"/>
  </r>
  <r>
    <x v="2"/>
    <x v="61"/>
    <n v="1"/>
    <x v="24"/>
    <m/>
    <m/>
    <m/>
    <n v="93.78"/>
    <n v="52.1"/>
    <n v="93.78"/>
    <n v="4"/>
    <m/>
    <m/>
    <m/>
    <m/>
    <m/>
    <n v="1"/>
  </r>
  <r>
    <x v="2"/>
    <x v="61"/>
    <n v="1"/>
    <x v="77"/>
    <m/>
    <m/>
    <m/>
    <n v="57.31"/>
    <n v="52.1"/>
    <n v="57.31"/>
    <n v="4"/>
    <m/>
    <m/>
    <m/>
    <m/>
    <m/>
    <n v="1"/>
  </r>
  <r>
    <x v="2"/>
    <x v="61"/>
    <n v="1"/>
    <x v="78"/>
    <m/>
    <m/>
    <m/>
    <n v="203.19"/>
    <n v="52.1"/>
    <n v="203.19"/>
    <n v="4"/>
    <m/>
    <m/>
    <m/>
    <m/>
    <m/>
    <n v="1"/>
  </r>
  <r>
    <x v="2"/>
    <x v="62"/>
    <n v="1"/>
    <x v="79"/>
    <m/>
    <m/>
    <m/>
    <n v="537.20000000000005"/>
    <n v="63.2"/>
    <n v="537.20000000000005"/>
    <n v="4"/>
    <m/>
    <m/>
    <m/>
    <m/>
    <m/>
    <n v="1"/>
  </r>
  <r>
    <x v="2"/>
    <x v="63"/>
    <n v="4"/>
    <x v="80"/>
    <m/>
    <m/>
    <m/>
    <n v="1666"/>
    <n v="238"/>
    <n v="416.5"/>
    <n v="12"/>
    <m/>
    <m/>
    <m/>
    <m/>
    <m/>
    <n v="4"/>
  </r>
  <r>
    <x v="2"/>
    <x v="64"/>
    <n v="1"/>
    <x v="11"/>
    <m/>
    <m/>
    <m/>
    <n v="2023.5"/>
    <n v="285"/>
    <n v="2023.5"/>
    <n v="13"/>
    <m/>
    <m/>
    <m/>
    <m/>
    <m/>
    <n v="1"/>
  </r>
  <r>
    <x v="2"/>
    <x v="65"/>
    <n v="3"/>
    <x v="5"/>
    <s v="S275"/>
    <m/>
    <m/>
    <n v="294.03000000000003"/>
    <n v="8.1"/>
    <n v="98.01"/>
    <n v="1"/>
    <m/>
    <m/>
    <m/>
    <m/>
    <m/>
    <n v="3"/>
  </r>
  <r>
    <x v="2"/>
    <x v="65"/>
    <n v="1"/>
    <x v="26"/>
    <s v="S275"/>
    <m/>
    <m/>
    <n v="42.93"/>
    <n v="8.1"/>
    <n v="42.93"/>
    <n v="1"/>
    <m/>
    <m/>
    <m/>
    <m/>
    <m/>
    <n v="1"/>
  </r>
  <r>
    <x v="2"/>
    <x v="66"/>
    <n v="1"/>
    <x v="81"/>
    <m/>
    <m/>
    <m/>
    <n v="46.8"/>
    <n v="10.4"/>
    <n v="46.8"/>
    <n v="6"/>
    <m/>
    <m/>
    <m/>
    <m/>
    <m/>
    <n v="1"/>
  </r>
  <r>
    <x v="2"/>
    <x v="66"/>
    <n v="15"/>
    <x v="5"/>
    <s v="S275JR"/>
    <s v="BE231237"/>
    <m/>
    <n v="1887.6000000000001"/>
    <n v="10.4"/>
    <n v="125.84"/>
    <n v="7"/>
    <m/>
    <m/>
    <m/>
    <m/>
    <m/>
    <n v="15"/>
  </r>
  <r>
    <x v="2"/>
    <x v="66"/>
    <n v="1"/>
    <x v="52"/>
    <s v="S275JR"/>
    <s v="BE231237"/>
    <m/>
    <n v="65.52"/>
    <n v="10.4"/>
    <n v="65.52"/>
    <n v="7"/>
    <m/>
    <m/>
    <m/>
    <m/>
    <m/>
    <n v="1"/>
  </r>
  <r>
    <x v="2"/>
    <x v="66"/>
    <n v="4"/>
    <x v="4"/>
    <m/>
    <m/>
    <m/>
    <n v="249.6"/>
    <n v="10.4"/>
    <n v="62.4"/>
    <n v="10"/>
    <m/>
    <m/>
    <m/>
    <m/>
    <m/>
    <n v="4"/>
  </r>
  <r>
    <x v="2"/>
    <x v="66"/>
    <n v="2"/>
    <x v="6"/>
    <m/>
    <m/>
    <m/>
    <n v="56.16"/>
    <n v="10.4"/>
    <n v="28.08"/>
    <n v="11"/>
    <m/>
    <m/>
    <m/>
    <m/>
    <m/>
    <n v="2"/>
  </r>
  <r>
    <x v="2"/>
    <x v="66"/>
    <n v="19"/>
    <x v="24"/>
    <m/>
    <m/>
    <m/>
    <n v="355.67999999999995"/>
    <n v="10.4"/>
    <n v="18.72"/>
    <n v="11"/>
    <m/>
    <m/>
    <m/>
    <m/>
    <m/>
    <n v="19"/>
  </r>
  <r>
    <x v="2"/>
    <x v="66"/>
    <n v="9"/>
    <x v="7"/>
    <m/>
    <m/>
    <m/>
    <n v="215.28000000000003"/>
    <n v="10.4"/>
    <n v="23.92"/>
    <n v="11"/>
    <m/>
    <m/>
    <m/>
    <m/>
    <m/>
    <n v="9"/>
  </r>
  <r>
    <x v="2"/>
    <x v="67"/>
    <n v="5"/>
    <x v="5"/>
    <m/>
    <m/>
    <m/>
    <n v="780.45"/>
    <n v="12.9"/>
    <n v="156.09"/>
    <n v="3"/>
    <m/>
    <m/>
    <m/>
    <m/>
    <m/>
    <n v="5"/>
  </r>
  <r>
    <x v="2"/>
    <x v="68"/>
    <n v="3"/>
    <x v="5"/>
    <m/>
    <m/>
    <m/>
    <n v="573.54"/>
    <n v="15.8"/>
    <n v="191.18"/>
    <n v="3"/>
    <m/>
    <m/>
    <m/>
    <m/>
    <m/>
    <n v="3"/>
  </r>
  <r>
    <x v="2"/>
    <x v="68"/>
    <n v="7"/>
    <x v="7"/>
    <m/>
    <m/>
    <m/>
    <n v="254.38000000000002"/>
    <n v="15.8"/>
    <n v="36.340000000000003"/>
    <n v="8"/>
    <m/>
    <m/>
    <m/>
    <m/>
    <m/>
    <n v="7"/>
  </r>
  <r>
    <x v="2"/>
    <x v="68"/>
    <n v="1"/>
    <x v="82"/>
    <m/>
    <m/>
    <m/>
    <n v="104.28"/>
    <n v="15.8"/>
    <n v="104.28"/>
    <n v="10"/>
    <m/>
    <m/>
    <m/>
    <m/>
    <m/>
    <n v="1"/>
  </r>
  <r>
    <x v="2"/>
    <x v="69"/>
    <n v="14"/>
    <x v="5"/>
    <m/>
    <m/>
    <m/>
    <n v="3184.72"/>
    <n v="18.8"/>
    <n v="227.48"/>
    <n v="1"/>
    <d v="2026-05-12T00:00:00"/>
    <n v="10"/>
    <m/>
    <m/>
    <m/>
    <n v="4"/>
  </r>
  <r>
    <x v="2"/>
    <x v="69"/>
    <n v="1"/>
    <x v="67"/>
    <m/>
    <m/>
    <m/>
    <n v="54.52"/>
    <n v="18.8"/>
    <n v="54.52"/>
    <n v="6"/>
    <m/>
    <m/>
    <m/>
    <m/>
    <m/>
    <n v="1"/>
  </r>
  <r>
    <x v="2"/>
    <x v="69"/>
    <n v="4"/>
    <x v="8"/>
    <m/>
    <m/>
    <m/>
    <n v="759.52"/>
    <n v="18.8"/>
    <n v="189.88"/>
    <n v="6"/>
    <m/>
    <m/>
    <m/>
    <m/>
    <m/>
    <n v="4"/>
  </r>
  <r>
    <x v="2"/>
    <x v="69"/>
    <n v="7"/>
    <x v="5"/>
    <s v="S355J2"/>
    <s v="09132-09139"/>
    <m/>
    <n v="1592.36"/>
    <n v="18.8"/>
    <n v="227.48"/>
    <n v="7"/>
    <m/>
    <m/>
    <m/>
    <m/>
    <m/>
    <n v="7"/>
  </r>
  <r>
    <x v="2"/>
    <x v="69"/>
    <n v="3"/>
    <x v="5"/>
    <m/>
    <m/>
    <m/>
    <n v="682.43999999999994"/>
    <n v="18.8"/>
    <n v="227.48"/>
    <n v="7"/>
    <d v="2026-05-11T00:00:00"/>
    <n v="3"/>
    <m/>
    <m/>
    <m/>
    <n v="0"/>
  </r>
  <r>
    <x v="2"/>
    <x v="69"/>
    <n v="7"/>
    <x v="29"/>
    <m/>
    <m/>
    <m/>
    <n v="223.72"/>
    <n v="18.8"/>
    <n v="31.96"/>
    <n v="9"/>
    <m/>
    <m/>
    <m/>
    <m/>
    <m/>
    <n v="7"/>
  </r>
  <r>
    <x v="2"/>
    <x v="69"/>
    <n v="1"/>
    <x v="34"/>
    <m/>
    <m/>
    <m/>
    <n v="142.88"/>
    <n v="18.8"/>
    <n v="142.88"/>
    <n v="10"/>
    <m/>
    <m/>
    <m/>
    <m/>
    <m/>
    <n v="1"/>
  </r>
  <r>
    <x v="2"/>
    <x v="70"/>
    <n v="3"/>
    <x v="5"/>
    <m/>
    <m/>
    <m/>
    <n v="813.12000000000012"/>
    <n v="22.4"/>
    <n v="271.04000000000002"/>
    <n v="3"/>
    <m/>
    <m/>
    <m/>
    <m/>
    <m/>
    <n v="3"/>
  </r>
  <r>
    <x v="2"/>
    <x v="70"/>
    <n v="3"/>
    <x v="5"/>
    <m/>
    <m/>
    <m/>
    <n v="813.12000000000012"/>
    <n v="22.4"/>
    <n v="271.04000000000002"/>
    <n v="5"/>
    <m/>
    <m/>
    <m/>
    <m/>
    <m/>
    <n v="3"/>
  </r>
  <r>
    <x v="2"/>
    <x v="70"/>
    <n v="1"/>
    <x v="5"/>
    <m/>
    <m/>
    <m/>
    <n v="271.04000000000002"/>
    <n v="22.4"/>
    <n v="271.04000000000002"/>
    <n v="6"/>
    <m/>
    <m/>
    <m/>
    <m/>
    <m/>
    <n v="1"/>
  </r>
  <r>
    <x v="2"/>
    <x v="70"/>
    <n v="1"/>
    <x v="33"/>
    <m/>
    <m/>
    <m/>
    <n v="44.8"/>
    <n v="22.4"/>
    <n v="44.8"/>
    <n v="8"/>
    <m/>
    <m/>
    <m/>
    <m/>
    <m/>
    <n v="1"/>
  </r>
  <r>
    <x v="2"/>
    <x v="70"/>
    <n v="1"/>
    <x v="83"/>
    <m/>
    <m/>
    <m/>
    <n v="67.2"/>
    <n v="22.4"/>
    <n v="67.2"/>
    <n v="12"/>
    <m/>
    <m/>
    <m/>
    <m/>
    <m/>
    <n v="1"/>
  </r>
  <r>
    <x v="2"/>
    <x v="71"/>
    <n v="8"/>
    <x v="5"/>
    <s v="S275J0"/>
    <s v="154708-A"/>
    <s v="25_50"/>
    <n v="2536.16"/>
    <n v="26.2"/>
    <n v="317.02"/>
    <n v="2"/>
    <m/>
    <m/>
    <m/>
    <m/>
    <m/>
    <n v="8"/>
  </r>
  <r>
    <x v="2"/>
    <x v="71"/>
    <n v="1"/>
    <x v="4"/>
    <m/>
    <m/>
    <m/>
    <n v="157.19999999999999"/>
    <n v="26.2"/>
    <n v="157.19999999999999"/>
    <n v="5"/>
    <m/>
    <m/>
    <m/>
    <m/>
    <m/>
    <n v="1"/>
  </r>
  <r>
    <x v="2"/>
    <x v="71"/>
    <n v="6"/>
    <x v="5"/>
    <m/>
    <m/>
    <m/>
    <n v="1902.12"/>
    <n v="26.2"/>
    <n v="317.02"/>
    <n v="7"/>
    <m/>
    <m/>
    <m/>
    <m/>
    <m/>
    <n v="6"/>
  </r>
  <r>
    <x v="2"/>
    <x v="71"/>
    <n v="1"/>
    <x v="11"/>
    <m/>
    <m/>
    <m/>
    <n v="186.02"/>
    <n v="26.2"/>
    <n v="186.02"/>
    <n v="7"/>
    <m/>
    <m/>
    <m/>
    <m/>
    <m/>
    <n v="1"/>
  </r>
  <r>
    <x v="2"/>
    <x v="71"/>
    <n v="1"/>
    <x v="12"/>
    <m/>
    <m/>
    <m/>
    <n v="175.54"/>
    <n v="26.2"/>
    <n v="175.54"/>
    <n v="8"/>
    <m/>
    <m/>
    <m/>
    <m/>
    <m/>
    <n v="1"/>
  </r>
  <r>
    <x v="2"/>
    <x v="71"/>
    <n v="1"/>
    <x v="23"/>
    <m/>
    <m/>
    <m/>
    <n v="41.92"/>
    <n v="26.2"/>
    <n v="41.92"/>
    <n v="12"/>
    <m/>
    <m/>
    <m/>
    <m/>
    <m/>
    <n v="1"/>
  </r>
  <r>
    <x v="2"/>
    <x v="72"/>
    <n v="1"/>
    <x v="84"/>
    <m/>
    <m/>
    <m/>
    <n v="98.24"/>
    <n v="30.7"/>
    <n v="98.24"/>
    <n v="10"/>
    <m/>
    <m/>
    <m/>
    <m/>
    <m/>
    <n v="1"/>
  </r>
  <r>
    <x v="2"/>
    <x v="72"/>
    <n v="1"/>
    <x v="85"/>
    <m/>
    <m/>
    <m/>
    <n v="211.83"/>
    <n v="30.7"/>
    <n v="211.83"/>
    <n v="2"/>
    <m/>
    <m/>
    <m/>
    <m/>
    <m/>
    <n v="1"/>
  </r>
  <r>
    <x v="2"/>
    <x v="72"/>
    <n v="6"/>
    <x v="5"/>
    <m/>
    <n v="74107"/>
    <m/>
    <n v="2228.8200000000002"/>
    <n v="30.7"/>
    <n v="371.47"/>
    <n v="5"/>
    <m/>
    <m/>
    <m/>
    <m/>
    <m/>
    <n v="6"/>
  </r>
  <r>
    <x v="2"/>
    <x v="72"/>
    <n v="1"/>
    <x v="5"/>
    <m/>
    <m/>
    <m/>
    <n v="371.47"/>
    <n v="30.7"/>
    <n v="371.47"/>
    <n v="5"/>
    <m/>
    <m/>
    <m/>
    <m/>
    <m/>
    <n v="1"/>
  </r>
  <r>
    <x v="2"/>
    <x v="72"/>
    <n v="2"/>
    <x v="86"/>
    <s v="S275JR"/>
    <m/>
    <m/>
    <n v="208.76"/>
    <n v="30.7"/>
    <n v="104.38"/>
    <n v="5"/>
    <m/>
    <m/>
    <m/>
    <m/>
    <m/>
    <n v="2"/>
  </r>
  <r>
    <x v="2"/>
    <x v="72"/>
    <n v="3"/>
    <x v="5"/>
    <m/>
    <m/>
    <m/>
    <n v="1114.4100000000001"/>
    <n v="30.7"/>
    <n v="371.47"/>
    <n v="6"/>
    <m/>
    <m/>
    <m/>
    <m/>
    <m/>
    <n v="3"/>
  </r>
  <r>
    <x v="2"/>
    <x v="72"/>
    <n v="7"/>
    <x v="5"/>
    <s v="S275JR"/>
    <s v="09708"/>
    <m/>
    <n v="2600.29"/>
    <n v="30.7"/>
    <n v="371.47"/>
    <n v="7"/>
    <m/>
    <m/>
    <m/>
    <m/>
    <m/>
    <n v="7"/>
  </r>
  <r>
    <x v="2"/>
    <x v="72"/>
    <n v="2"/>
    <x v="83"/>
    <m/>
    <m/>
    <m/>
    <n v="184.2"/>
    <n v="30.7"/>
    <n v="92.1"/>
    <n v="8"/>
    <m/>
    <m/>
    <m/>
    <m/>
    <m/>
    <n v="2"/>
  </r>
  <r>
    <x v="2"/>
    <x v="72"/>
    <n v="1"/>
    <x v="7"/>
    <m/>
    <m/>
    <m/>
    <n v="70.61"/>
    <n v="30.7"/>
    <n v="70.61"/>
    <n v="8"/>
    <m/>
    <m/>
    <m/>
    <m/>
    <m/>
    <n v="1"/>
  </r>
  <r>
    <x v="2"/>
    <x v="72"/>
    <n v="1"/>
    <x v="14"/>
    <m/>
    <m/>
    <m/>
    <n v="58.33"/>
    <n v="30.7"/>
    <n v="58.33"/>
    <n v="8"/>
    <m/>
    <m/>
    <m/>
    <m/>
    <m/>
    <n v="1"/>
  </r>
  <r>
    <x v="2"/>
    <x v="72"/>
    <n v="1"/>
    <x v="29"/>
    <m/>
    <m/>
    <m/>
    <n v="52.19"/>
    <n v="30.7"/>
    <n v="52.19"/>
    <n v="9"/>
    <m/>
    <m/>
    <m/>
    <m/>
    <m/>
    <n v="1"/>
  </r>
  <r>
    <x v="2"/>
    <x v="72"/>
    <n v="1"/>
    <x v="15"/>
    <m/>
    <m/>
    <m/>
    <n v="64.47"/>
    <n v="30.7"/>
    <n v="64.47"/>
    <n v="10"/>
    <m/>
    <m/>
    <m/>
    <m/>
    <m/>
    <n v="1"/>
  </r>
  <r>
    <x v="2"/>
    <x v="72"/>
    <n v="5"/>
    <x v="78"/>
    <m/>
    <m/>
    <m/>
    <n v="598.65"/>
    <n v="30.7"/>
    <n v="119.73"/>
    <n v="10"/>
    <m/>
    <m/>
    <m/>
    <m/>
    <m/>
    <n v="5"/>
  </r>
  <r>
    <x v="2"/>
    <x v="72"/>
    <n v="3"/>
    <x v="39"/>
    <m/>
    <m/>
    <m/>
    <n v="92.1"/>
    <n v="30.7"/>
    <n v="30.7"/>
    <n v="11"/>
    <m/>
    <m/>
    <m/>
    <m/>
    <m/>
    <n v="3"/>
  </r>
  <r>
    <x v="2"/>
    <x v="72"/>
    <n v="2"/>
    <x v="87"/>
    <m/>
    <m/>
    <m/>
    <n v="135.08000000000001"/>
    <n v="30.7"/>
    <n v="67.540000000000006"/>
    <n v="11"/>
    <m/>
    <m/>
    <m/>
    <m/>
    <m/>
    <n v="2"/>
  </r>
  <r>
    <x v="2"/>
    <x v="72"/>
    <n v="1"/>
    <x v="6"/>
    <m/>
    <m/>
    <m/>
    <n v="82.89"/>
    <n v="30.7"/>
    <n v="82.89"/>
    <n v="11"/>
    <m/>
    <m/>
    <m/>
    <m/>
    <m/>
    <n v="1"/>
  </r>
  <r>
    <x v="2"/>
    <x v="73"/>
    <n v="2"/>
    <x v="8"/>
    <m/>
    <m/>
    <m/>
    <n v="729.22"/>
    <n v="36.1"/>
    <n v="364.61"/>
    <n v="3"/>
    <m/>
    <m/>
    <m/>
    <m/>
    <m/>
    <n v="2"/>
  </r>
  <r>
    <x v="2"/>
    <x v="73"/>
    <n v="1"/>
    <x v="22"/>
    <s v="S275JR"/>
    <m/>
    <m/>
    <n v="144.4"/>
    <n v="36.1"/>
    <n v="144.4"/>
    <n v="6"/>
    <m/>
    <m/>
    <m/>
    <m/>
    <m/>
    <n v="1"/>
  </r>
  <r>
    <x v="2"/>
    <x v="73"/>
    <n v="1"/>
    <x v="5"/>
    <s v="S275JR"/>
    <m/>
    <m/>
    <n v="436.81"/>
    <n v="36.1"/>
    <n v="436.81"/>
    <n v="7"/>
    <m/>
    <m/>
    <m/>
    <m/>
    <m/>
    <n v="1"/>
  </r>
  <r>
    <x v="2"/>
    <x v="73"/>
    <n v="3"/>
    <x v="33"/>
    <m/>
    <m/>
    <m/>
    <n v="216.60000000000002"/>
    <n v="36.1"/>
    <n v="72.2"/>
    <n v="8"/>
    <m/>
    <m/>
    <m/>
    <m/>
    <m/>
    <n v="3"/>
  </r>
  <r>
    <x v="2"/>
    <x v="73"/>
    <n v="5"/>
    <x v="30"/>
    <m/>
    <m/>
    <m/>
    <n v="252.7"/>
    <n v="36.1"/>
    <n v="50.54"/>
    <n v="8"/>
    <m/>
    <m/>
    <m/>
    <m/>
    <m/>
    <n v="5"/>
  </r>
  <r>
    <x v="2"/>
    <x v="73"/>
    <n v="1"/>
    <x v="15"/>
    <m/>
    <m/>
    <m/>
    <n v="75.81"/>
    <n v="36.1"/>
    <n v="75.81"/>
    <n v="8"/>
    <m/>
    <m/>
    <m/>
    <m/>
    <m/>
    <n v="1"/>
  </r>
  <r>
    <x v="2"/>
    <x v="73"/>
    <n v="1"/>
    <x v="6"/>
    <m/>
    <m/>
    <m/>
    <n v="97.47"/>
    <n v="36.1"/>
    <n v="97.47"/>
    <n v="12"/>
    <m/>
    <m/>
    <m/>
    <m/>
    <m/>
    <n v="1"/>
  </r>
  <r>
    <x v="2"/>
    <x v="73"/>
    <n v="16"/>
    <x v="81"/>
    <m/>
    <m/>
    <m/>
    <n v="2599.1999999999998"/>
    <n v="36.1"/>
    <n v="162.44999999999999"/>
    <n v="12"/>
    <m/>
    <m/>
    <m/>
    <m/>
    <m/>
    <n v="16"/>
  </r>
  <r>
    <x v="2"/>
    <x v="73"/>
    <n v="1"/>
    <x v="20"/>
    <m/>
    <m/>
    <m/>
    <n v="111.91"/>
    <n v="36.1"/>
    <n v="111.91"/>
    <n v="12"/>
    <m/>
    <m/>
    <m/>
    <m/>
    <m/>
    <n v="1"/>
  </r>
  <r>
    <x v="2"/>
    <x v="74"/>
    <n v="10"/>
    <x v="5"/>
    <s v="S355"/>
    <s v="DUF155442"/>
    <m/>
    <n v="5106.2000000000007"/>
    <n v="42.2"/>
    <n v="510.62000000000006"/>
    <n v="2"/>
    <m/>
    <m/>
    <m/>
    <m/>
    <m/>
    <n v="10"/>
  </r>
  <r>
    <x v="2"/>
    <x v="74"/>
    <n v="1"/>
    <x v="43"/>
    <m/>
    <m/>
    <m/>
    <n v="50.64"/>
    <n v="42.2"/>
    <n v="50.64"/>
    <n v="8"/>
    <m/>
    <m/>
    <m/>
    <m/>
    <m/>
    <n v="1"/>
  </r>
  <r>
    <x v="2"/>
    <x v="74"/>
    <n v="6"/>
    <x v="49"/>
    <m/>
    <m/>
    <m/>
    <n v="379.8"/>
    <n v="42.2"/>
    <n v="63.300000000000004"/>
    <n v="8"/>
    <m/>
    <m/>
    <m/>
    <m/>
    <m/>
    <n v="6"/>
  </r>
  <r>
    <x v="2"/>
    <x v="74"/>
    <n v="1"/>
    <x v="53"/>
    <m/>
    <m/>
    <m/>
    <n v="257.42"/>
    <n v="42.2"/>
    <n v="257.42"/>
    <n v="8"/>
    <m/>
    <m/>
    <m/>
    <m/>
    <m/>
    <n v="1"/>
  </r>
  <r>
    <x v="2"/>
    <x v="74"/>
    <n v="1"/>
    <x v="11"/>
    <m/>
    <m/>
    <m/>
    <n v="299.62"/>
    <n v="42.2"/>
    <n v="299.62"/>
    <n v="8"/>
    <m/>
    <m/>
    <m/>
    <m/>
    <m/>
    <n v="1"/>
  </r>
  <r>
    <x v="2"/>
    <x v="74"/>
    <n v="12"/>
    <x v="17"/>
    <m/>
    <n v="73924"/>
    <m/>
    <n v="1823.04"/>
    <n v="42.2"/>
    <n v="151.91999999999999"/>
    <n v="9"/>
    <m/>
    <m/>
    <m/>
    <m/>
    <m/>
    <n v="12"/>
  </r>
  <r>
    <x v="2"/>
    <x v="74"/>
    <n v="1"/>
    <x v="13"/>
    <m/>
    <m/>
    <m/>
    <n v="156.13999999999999"/>
    <n v="42.2"/>
    <n v="156.13999999999999"/>
    <n v="10"/>
    <m/>
    <m/>
    <m/>
    <m/>
    <m/>
    <n v="1"/>
  </r>
  <r>
    <x v="2"/>
    <x v="74"/>
    <n v="1"/>
    <x v="77"/>
    <m/>
    <m/>
    <m/>
    <n v="46.42"/>
    <n v="42.2"/>
    <n v="46.42"/>
    <n v="11"/>
    <m/>
    <m/>
    <m/>
    <m/>
    <m/>
    <n v="1"/>
  </r>
  <r>
    <x v="2"/>
    <x v="74"/>
    <n v="1"/>
    <x v="6"/>
    <m/>
    <m/>
    <m/>
    <n v="113.94000000000001"/>
    <n v="42.2"/>
    <n v="113.94000000000001"/>
    <n v="12"/>
    <m/>
    <m/>
    <m/>
    <m/>
    <m/>
    <n v="1"/>
  </r>
  <r>
    <x v="2"/>
    <x v="75"/>
    <n v="3"/>
    <x v="5"/>
    <m/>
    <s v="DUF155384"/>
    <m/>
    <n v="1782.33"/>
    <n v="49.1"/>
    <n v="594.11"/>
    <n v="1"/>
    <m/>
    <m/>
    <m/>
    <m/>
    <m/>
    <n v="3"/>
  </r>
  <r>
    <x v="2"/>
    <x v="75"/>
    <n v="4"/>
    <x v="88"/>
    <s v="S275J0"/>
    <s v="21/04/26"/>
    <m/>
    <n v="2612.12"/>
    <n v="49.1"/>
    <n v="653.03"/>
    <n v="2"/>
    <m/>
    <m/>
    <m/>
    <m/>
    <m/>
    <n v="4"/>
  </r>
  <r>
    <x v="2"/>
    <x v="76"/>
    <n v="1"/>
    <x v="89"/>
    <m/>
    <m/>
    <m/>
    <n v="188.43"/>
    <n v="57.1"/>
    <n v="188.43"/>
    <n v="8"/>
    <m/>
    <m/>
    <m/>
    <m/>
    <m/>
    <n v="1"/>
  </r>
  <r>
    <x v="2"/>
    <x v="76"/>
    <n v="5"/>
    <x v="54"/>
    <m/>
    <m/>
    <m/>
    <n v="1427.5"/>
    <n v="57.1"/>
    <n v="285.5"/>
    <n v="8"/>
    <m/>
    <m/>
    <m/>
    <m/>
    <m/>
    <n v="5"/>
  </r>
  <r>
    <x v="2"/>
    <x v="76"/>
    <n v="1"/>
    <x v="75"/>
    <m/>
    <m/>
    <m/>
    <n v="399.7"/>
    <n v="57.1"/>
    <n v="399.7"/>
    <n v="8"/>
    <m/>
    <m/>
    <m/>
    <m/>
    <m/>
    <n v="1"/>
  </r>
  <r>
    <x v="2"/>
    <x v="76"/>
    <n v="1"/>
    <x v="17"/>
    <m/>
    <m/>
    <m/>
    <n v="205.56"/>
    <n v="57.1"/>
    <n v="205.56"/>
    <n v="9"/>
    <m/>
    <m/>
    <m/>
    <m/>
    <m/>
    <n v="1"/>
  </r>
  <r>
    <x v="2"/>
    <x v="76"/>
    <n v="1"/>
    <x v="28"/>
    <m/>
    <m/>
    <m/>
    <n v="142.75"/>
    <n v="57.1"/>
    <n v="142.75"/>
    <n v="9"/>
    <m/>
    <m/>
    <m/>
    <m/>
    <m/>
    <n v="1"/>
  </r>
  <r>
    <x v="2"/>
    <x v="77"/>
    <n v="11"/>
    <x v="5"/>
    <s v="S275JR"/>
    <s v="39669-39670-39676"/>
    <m/>
    <n v="8824.5300000000007"/>
    <n v="66.3"/>
    <n v="802.23"/>
    <n v="6"/>
    <m/>
    <m/>
    <m/>
    <m/>
    <m/>
    <n v="11"/>
  </r>
  <r>
    <x v="2"/>
    <x v="77"/>
    <n v="1"/>
    <x v="48"/>
    <m/>
    <m/>
    <m/>
    <n v="86.19"/>
    <n v="66.3"/>
    <n v="86.19"/>
    <n v="8"/>
    <m/>
    <m/>
    <m/>
    <m/>
    <m/>
    <n v="1"/>
  </r>
  <r>
    <x v="2"/>
    <x v="78"/>
    <n v="1"/>
    <x v="5"/>
    <m/>
    <m/>
    <m/>
    <n v="938.95999999999992"/>
    <n v="77.599999999999994"/>
    <n v="938.95999999999992"/>
    <n v="5"/>
    <m/>
    <m/>
    <m/>
    <m/>
    <m/>
    <n v="1"/>
  </r>
  <r>
    <x v="1"/>
    <x v="79"/>
    <n v="4"/>
    <x v="4"/>
    <s v="S275"/>
    <m/>
    <m/>
    <n v="200.16"/>
    <n v="8.34"/>
    <n v="50.04"/>
    <s v="DAN. 1"/>
    <m/>
    <m/>
    <m/>
    <m/>
    <m/>
    <n v="4"/>
  </r>
  <r>
    <x v="0"/>
    <x v="80"/>
    <n v="16"/>
    <x v="0"/>
    <m/>
    <m/>
    <m/>
    <m/>
    <m/>
    <m/>
    <s v="MASSIMO"/>
    <m/>
    <m/>
    <m/>
    <m/>
    <m/>
    <n v="16"/>
  </r>
  <r>
    <x v="0"/>
    <x v="81"/>
    <n v="28"/>
    <x v="0"/>
    <m/>
    <m/>
    <m/>
    <m/>
    <m/>
    <m/>
    <s v="MASSIMO"/>
    <m/>
    <m/>
    <m/>
    <m/>
    <m/>
    <n v="28"/>
  </r>
  <r>
    <x v="0"/>
    <x v="82"/>
    <n v="48"/>
    <x v="0"/>
    <m/>
    <m/>
    <m/>
    <m/>
    <m/>
    <m/>
    <s v="MASSIMO"/>
    <m/>
    <m/>
    <m/>
    <m/>
    <m/>
    <n v="48"/>
  </r>
  <r>
    <x v="1"/>
    <x v="83"/>
    <n v="49"/>
    <x v="4"/>
    <s v="S235"/>
    <m/>
    <m/>
    <n v="2684.2200000000003"/>
    <n v="9.1300000000000008"/>
    <n v="54.780000000000008"/>
    <s v="DAN. 3"/>
    <m/>
    <m/>
    <m/>
    <m/>
    <m/>
    <n v="49"/>
  </r>
  <r>
    <x v="1"/>
    <x v="84"/>
    <n v="4"/>
    <x v="2"/>
    <s v="S275"/>
    <m/>
    <m/>
    <n v="576"/>
    <n v="12"/>
    <n v="144"/>
    <s v="DAN. 3"/>
    <m/>
    <m/>
    <m/>
    <m/>
    <m/>
    <n v="4"/>
  </r>
  <r>
    <x v="1"/>
    <x v="85"/>
    <n v="11"/>
    <x v="4"/>
    <s v="ZINCATO"/>
    <m/>
    <m/>
    <n v="762.3"/>
    <n v="11.55"/>
    <n v="69.3"/>
    <s v="DAN. 3"/>
    <m/>
    <m/>
    <m/>
    <m/>
    <m/>
    <n v="11"/>
  </r>
  <r>
    <x v="1"/>
    <x v="85"/>
    <n v="20"/>
    <x v="2"/>
    <s v="S235"/>
    <s v="25F004960"/>
    <m/>
    <n v="2640"/>
    <n v="11"/>
    <n v="132"/>
    <s v="DAN. 3"/>
    <d v="2026-05-11T00:00:00"/>
    <n v="12"/>
    <m/>
    <m/>
    <m/>
    <n v="8"/>
  </r>
  <r>
    <x v="1"/>
    <x v="85"/>
    <n v="4"/>
    <x v="2"/>
    <s v="S275"/>
    <m/>
    <m/>
    <n v="528"/>
    <n v="11"/>
    <n v="132"/>
    <s v="DAN. 3"/>
    <d v="2026-05-11T00:00:00"/>
    <n v="4"/>
    <m/>
    <m/>
    <m/>
    <n v="0"/>
  </r>
  <r>
    <x v="1"/>
    <x v="86"/>
    <n v="16"/>
    <x v="2"/>
    <s v="S275"/>
    <m/>
    <m/>
    <n v="3417.6"/>
    <n v="17.8"/>
    <n v="213.6"/>
    <s v="DAN. 3"/>
    <m/>
    <m/>
    <m/>
    <m/>
    <m/>
    <n v="16"/>
  </r>
  <r>
    <x v="1"/>
    <x v="87"/>
    <n v="37"/>
    <x v="4"/>
    <s v="S235"/>
    <m/>
    <m/>
    <n v="739.26"/>
    <n v="3.33"/>
    <n v="19.98"/>
    <s v="DAN. 3"/>
    <m/>
    <m/>
    <m/>
    <m/>
    <m/>
    <n v="37"/>
  </r>
  <r>
    <x v="1"/>
    <x v="88"/>
    <n v="14"/>
    <x v="4"/>
    <s v="ZINCATO"/>
    <m/>
    <m/>
    <n v="460.32000000000005"/>
    <n v="5.48"/>
    <n v="32.880000000000003"/>
    <s v="DAN. 3"/>
    <m/>
    <m/>
    <m/>
    <m/>
    <m/>
    <n v="14"/>
  </r>
  <r>
    <x v="1"/>
    <x v="88"/>
    <n v="35"/>
    <x v="4"/>
    <s v="S235"/>
    <n v="25301995"/>
    <m/>
    <n v="1096.2"/>
    <n v="5.22"/>
    <n v="31.32"/>
    <s v="DAN. 3"/>
    <m/>
    <m/>
    <m/>
    <m/>
    <m/>
    <n v="35"/>
  </r>
  <r>
    <x v="1"/>
    <x v="88"/>
    <n v="4"/>
    <x v="4"/>
    <m/>
    <m/>
    <m/>
    <n v="125.28"/>
    <n v="5.22"/>
    <n v="31.32"/>
    <s v="DAN. 3"/>
    <m/>
    <m/>
    <m/>
    <m/>
    <m/>
    <n v="4"/>
  </r>
  <r>
    <x v="1"/>
    <x v="89"/>
    <n v="32"/>
    <x v="4"/>
    <s v="S235"/>
    <n v="512474"/>
    <m/>
    <n v="1272.96"/>
    <n v="6.63"/>
    <n v="39.78"/>
    <s v="DAN. 3"/>
    <m/>
    <m/>
    <m/>
    <m/>
    <m/>
    <n v="32"/>
  </r>
  <r>
    <x v="1"/>
    <x v="89"/>
    <n v="19"/>
    <x v="2"/>
    <s v="S275"/>
    <m/>
    <m/>
    <n v="1511.64"/>
    <n v="6.63"/>
    <n v="79.56"/>
    <s v="DAN. 3"/>
    <m/>
    <m/>
    <m/>
    <m/>
    <m/>
    <n v="19"/>
  </r>
  <r>
    <x v="1"/>
    <x v="90"/>
    <n v="56"/>
    <x v="4"/>
    <s v="S235"/>
    <m/>
    <m/>
    <n v="2684.64"/>
    <n v="7.99"/>
    <n v="47.94"/>
    <s v="DAN. 3"/>
    <m/>
    <m/>
    <m/>
    <m/>
    <m/>
    <n v="56"/>
  </r>
  <r>
    <x v="1"/>
    <x v="91"/>
    <n v="77"/>
    <x v="4"/>
    <s v="S235"/>
    <m/>
    <m/>
    <n v="1353.6599999999999"/>
    <n v="2.93"/>
    <n v="17.579999999999998"/>
    <s v="DAN. 3"/>
    <m/>
    <m/>
    <m/>
    <m/>
    <m/>
    <n v="77"/>
  </r>
  <r>
    <x v="1"/>
    <x v="92"/>
    <n v="38"/>
    <x v="4"/>
    <s v="S235"/>
    <m/>
    <m/>
    <n v="1190.1600000000001"/>
    <n v="5.22"/>
    <n v="31.32"/>
    <s v="DAN. 3"/>
    <m/>
    <m/>
    <m/>
    <m/>
    <m/>
    <n v="38"/>
  </r>
  <r>
    <x v="1"/>
    <x v="93"/>
    <n v="2"/>
    <x v="2"/>
    <m/>
    <m/>
    <m/>
    <n v="1237.68"/>
    <n v="51.57"/>
    <n v="618.84"/>
    <s v="DAN. 3"/>
    <m/>
    <m/>
    <m/>
    <m/>
    <m/>
    <n v="2"/>
  </r>
  <r>
    <x v="1"/>
    <x v="94"/>
    <n v="159"/>
    <x v="4"/>
    <s v="S235"/>
    <m/>
    <m/>
    <n v="1688.58"/>
    <n v="1.77"/>
    <n v="10.62"/>
    <s v="DAN. 3"/>
    <m/>
    <m/>
    <m/>
    <m/>
    <m/>
    <n v="159"/>
  </r>
  <r>
    <x v="1"/>
    <x v="95"/>
    <n v="155"/>
    <x v="4"/>
    <s v="S235"/>
    <n v="570160"/>
    <m/>
    <n v="3115.5"/>
    <n v="3.35"/>
    <n v="20.100000000000001"/>
    <s v="DAN. 3"/>
    <m/>
    <m/>
    <m/>
    <m/>
    <m/>
    <n v="155"/>
  </r>
  <r>
    <x v="1"/>
    <x v="96"/>
    <n v="61"/>
    <x v="4"/>
    <s v="S235"/>
    <n v="511570"/>
    <m/>
    <n v="1551.8400000000001"/>
    <n v="4.24"/>
    <n v="25.44"/>
    <s v="DAN. 3"/>
    <m/>
    <m/>
    <m/>
    <m/>
    <m/>
    <n v="61"/>
  </r>
  <r>
    <x v="2"/>
    <x v="97"/>
    <n v="7"/>
    <x v="5"/>
    <s v="S355"/>
    <m/>
    <m/>
    <n v="897.81999999999994"/>
    <n v="10.6"/>
    <n v="128.26"/>
    <n v="1"/>
    <m/>
    <m/>
    <m/>
    <m/>
    <m/>
    <n v="7"/>
  </r>
  <r>
    <x v="2"/>
    <x v="97"/>
    <n v="11"/>
    <x v="87"/>
    <m/>
    <m/>
    <m/>
    <n v="256.52"/>
    <n v="10.6"/>
    <n v="23.32"/>
    <n v="11"/>
    <m/>
    <m/>
    <m/>
    <m/>
    <m/>
    <n v="11"/>
  </r>
  <r>
    <x v="2"/>
    <x v="98"/>
    <n v="15"/>
    <x v="5"/>
    <m/>
    <m/>
    <m/>
    <n v="2432.1"/>
    <n v="13.4"/>
    <n v="162.13999999999999"/>
    <n v="3"/>
    <m/>
    <m/>
    <m/>
    <m/>
    <m/>
    <n v="15"/>
  </r>
  <r>
    <x v="2"/>
    <x v="98"/>
    <n v="1"/>
    <x v="90"/>
    <m/>
    <m/>
    <m/>
    <n v="4.0199999999999996"/>
    <n v="13.4"/>
    <n v="4.0199999999999996"/>
    <n v="11"/>
    <m/>
    <m/>
    <m/>
    <m/>
    <m/>
    <n v="1"/>
  </r>
  <r>
    <x v="2"/>
    <x v="99"/>
    <n v="128"/>
    <x v="47"/>
    <s v="S355J2"/>
    <s v="157311A"/>
    <m/>
    <n v="18636.8"/>
    <n v="16"/>
    <n v="145.6"/>
    <n v="1"/>
    <m/>
    <m/>
    <m/>
    <m/>
    <m/>
    <n v="128"/>
  </r>
  <r>
    <x v="2"/>
    <x v="99"/>
    <n v="1"/>
    <x v="75"/>
    <m/>
    <m/>
    <m/>
    <n v="112"/>
    <n v="16"/>
    <n v="112"/>
    <n v="2"/>
    <m/>
    <m/>
    <m/>
    <m/>
    <m/>
    <n v="1"/>
  </r>
  <r>
    <x v="2"/>
    <x v="99"/>
    <n v="12"/>
    <x v="5"/>
    <s v="S275JR"/>
    <s v="BE231568"/>
    <m/>
    <n v="2323.1999999999998"/>
    <n v="16"/>
    <n v="193.6"/>
    <n v="4"/>
    <m/>
    <m/>
    <m/>
    <m/>
    <m/>
    <n v="12"/>
  </r>
  <r>
    <x v="2"/>
    <x v="100"/>
    <n v="21"/>
    <x v="5"/>
    <m/>
    <m/>
    <s v="25_60"/>
    <n v="4777.08"/>
    <n v="18.8"/>
    <n v="227.48"/>
    <n v="1"/>
    <m/>
    <m/>
    <m/>
    <m/>
    <m/>
    <n v="21"/>
  </r>
  <r>
    <x v="2"/>
    <x v="100"/>
    <n v="3"/>
    <x v="5"/>
    <m/>
    <s v="BE233566"/>
    <m/>
    <n v="682.43999999999994"/>
    <n v="18.8"/>
    <n v="227.48"/>
    <n v="3"/>
    <m/>
    <m/>
    <m/>
    <m/>
    <m/>
    <n v="3"/>
  </r>
  <r>
    <x v="2"/>
    <x v="100"/>
    <n v="3"/>
    <x v="5"/>
    <m/>
    <m/>
    <m/>
    <n v="682.43999999999994"/>
    <n v="18.8"/>
    <n v="227.48"/>
    <n v="3"/>
    <m/>
    <m/>
    <m/>
    <m/>
    <m/>
    <n v="3"/>
  </r>
  <r>
    <x v="2"/>
    <x v="100"/>
    <n v="8"/>
    <x v="5"/>
    <m/>
    <m/>
    <m/>
    <n v="1819.84"/>
    <n v="18.8"/>
    <n v="227.48"/>
    <n v="4"/>
    <m/>
    <m/>
    <m/>
    <m/>
    <m/>
    <n v="8"/>
  </r>
  <r>
    <x v="2"/>
    <x v="100"/>
    <n v="1"/>
    <x v="37"/>
    <m/>
    <m/>
    <m/>
    <n v="188"/>
    <n v="18.8"/>
    <n v="188"/>
    <n v="4"/>
    <m/>
    <m/>
    <m/>
    <m/>
    <m/>
    <n v="1"/>
  </r>
  <r>
    <x v="2"/>
    <x v="100"/>
    <n v="10"/>
    <x v="5"/>
    <s v="S355J2"/>
    <n v="653135"/>
    <m/>
    <n v="2274.7999999999997"/>
    <n v="18.8"/>
    <n v="227.48"/>
    <n v="6"/>
    <m/>
    <m/>
    <m/>
    <m/>
    <m/>
    <n v="10"/>
  </r>
  <r>
    <x v="2"/>
    <x v="100"/>
    <n v="1"/>
    <x v="78"/>
    <m/>
    <m/>
    <m/>
    <n v="73.319999999999993"/>
    <n v="18.8"/>
    <n v="73.319999999999993"/>
    <n v="11"/>
    <m/>
    <m/>
    <m/>
    <m/>
    <m/>
    <n v="1"/>
  </r>
  <r>
    <x v="2"/>
    <x v="101"/>
    <n v="24"/>
    <x v="47"/>
    <s v="S355J2"/>
    <s v="158343A"/>
    <m/>
    <n v="4804.7999999999993"/>
    <n v="22"/>
    <n v="200.2"/>
    <n v="1"/>
    <m/>
    <m/>
    <m/>
    <m/>
    <m/>
    <n v="24"/>
  </r>
  <r>
    <x v="2"/>
    <x v="101"/>
    <n v="2"/>
    <x v="5"/>
    <m/>
    <s v="TPP153612A"/>
    <m/>
    <n v="532.4"/>
    <n v="22"/>
    <n v="266.2"/>
    <n v="3"/>
    <m/>
    <m/>
    <m/>
    <m/>
    <m/>
    <n v="2"/>
  </r>
  <r>
    <x v="2"/>
    <x v="102"/>
    <n v="2"/>
    <x v="5"/>
    <m/>
    <m/>
    <m/>
    <n v="532.4"/>
    <n v="22"/>
    <n v="266.2"/>
    <n v="6"/>
    <m/>
    <m/>
    <m/>
    <m/>
    <m/>
    <n v="2"/>
  </r>
  <r>
    <x v="2"/>
    <x v="103"/>
    <n v="76"/>
    <x v="47"/>
    <s v="S355J0"/>
    <n v="631238"/>
    <s v="25_60"/>
    <n v="17497.48"/>
    <n v="25.3"/>
    <n v="230.23"/>
    <n v="2"/>
    <m/>
    <m/>
    <m/>
    <m/>
    <m/>
    <n v="76"/>
  </r>
  <r>
    <x v="2"/>
    <x v="103"/>
    <n v="20"/>
    <x v="91"/>
    <s v="S355J0"/>
    <n v="631372"/>
    <s v="25_60"/>
    <n v="4908.2"/>
    <n v="25.3"/>
    <n v="245.41"/>
    <n v="2"/>
    <m/>
    <m/>
    <m/>
    <m/>
    <m/>
    <n v="20"/>
  </r>
  <r>
    <x v="2"/>
    <x v="103"/>
    <n v="5"/>
    <x v="5"/>
    <m/>
    <m/>
    <m/>
    <n v="1530.65"/>
    <n v="25.3"/>
    <n v="306.13"/>
    <n v="3"/>
    <m/>
    <m/>
    <m/>
    <m/>
    <m/>
    <n v="5"/>
  </r>
  <r>
    <x v="2"/>
    <x v="103"/>
    <n v="1"/>
    <x v="92"/>
    <m/>
    <m/>
    <m/>
    <n v="122.705"/>
    <n v="25.3"/>
    <n v="122.705"/>
    <n v="4"/>
    <m/>
    <m/>
    <m/>
    <m/>
    <m/>
    <n v="1"/>
  </r>
  <r>
    <x v="2"/>
    <x v="103"/>
    <n v="1"/>
    <x v="91"/>
    <m/>
    <m/>
    <m/>
    <n v="245.41"/>
    <n v="25.3"/>
    <n v="245.41"/>
    <n v="4"/>
    <m/>
    <m/>
    <m/>
    <m/>
    <m/>
    <n v="1"/>
  </r>
  <r>
    <x v="2"/>
    <x v="103"/>
    <n v="1"/>
    <x v="49"/>
    <m/>
    <m/>
    <m/>
    <n v="37.950000000000003"/>
    <n v="25.3"/>
    <n v="37.950000000000003"/>
    <n v="9"/>
    <m/>
    <m/>
    <m/>
    <m/>
    <m/>
    <n v="1"/>
  </r>
  <r>
    <x v="2"/>
    <x v="104"/>
    <n v="1"/>
    <x v="52"/>
    <m/>
    <n v="73070"/>
    <m/>
    <n v="185.22"/>
    <n v="29.4"/>
    <n v="185.22"/>
    <n v="6"/>
    <m/>
    <m/>
    <m/>
    <m/>
    <m/>
    <n v="1"/>
  </r>
  <r>
    <x v="2"/>
    <x v="104"/>
    <n v="7"/>
    <x v="5"/>
    <m/>
    <n v="73070"/>
    <m/>
    <n v="2490.1800000000003"/>
    <n v="29.4"/>
    <n v="355.74"/>
    <n v="6"/>
    <m/>
    <m/>
    <m/>
    <m/>
    <m/>
    <n v="7"/>
  </r>
  <r>
    <x v="2"/>
    <x v="104"/>
    <n v="1"/>
    <x v="54"/>
    <m/>
    <m/>
    <m/>
    <n v="147"/>
    <n v="29.4"/>
    <n v="147"/>
    <n v="9"/>
    <m/>
    <m/>
    <m/>
    <m/>
    <m/>
    <n v="1"/>
  </r>
  <r>
    <x v="2"/>
    <x v="104"/>
    <n v="1"/>
    <x v="27"/>
    <m/>
    <m/>
    <m/>
    <n v="102.9"/>
    <n v="29.4"/>
    <n v="102.9"/>
    <n v="11"/>
    <m/>
    <m/>
    <m/>
    <m/>
    <m/>
    <n v="1"/>
  </r>
  <r>
    <x v="2"/>
    <x v="104"/>
    <n v="1"/>
    <x v="16"/>
    <m/>
    <m/>
    <m/>
    <n v="82.32"/>
    <n v="29.4"/>
    <n v="82.32"/>
    <n v="11"/>
    <m/>
    <m/>
    <m/>
    <m/>
    <m/>
    <n v="1"/>
  </r>
  <r>
    <x v="2"/>
    <x v="104"/>
    <n v="1"/>
    <x v="16"/>
    <m/>
    <m/>
    <m/>
    <n v="82.32"/>
    <n v="29.4"/>
    <n v="82.32"/>
    <n v="11"/>
    <m/>
    <m/>
    <m/>
    <m/>
    <m/>
    <n v="1"/>
  </r>
  <r>
    <x v="2"/>
    <x v="105"/>
    <n v="4"/>
    <x v="37"/>
    <m/>
    <m/>
    <m/>
    <n v="1328"/>
    <n v="33.200000000000003"/>
    <n v="332"/>
    <n v="6"/>
    <m/>
    <m/>
    <m/>
    <m/>
    <m/>
    <n v="4"/>
  </r>
  <r>
    <x v="2"/>
    <x v="105"/>
    <n v="5"/>
    <x v="58"/>
    <m/>
    <m/>
    <m/>
    <n v="1344.6000000000001"/>
    <n v="33.200000000000003"/>
    <n v="268.92"/>
    <n v="6"/>
    <m/>
    <m/>
    <m/>
    <m/>
    <m/>
    <n v="5"/>
  </r>
  <r>
    <x v="2"/>
    <x v="105"/>
    <n v="1"/>
    <x v="49"/>
    <m/>
    <m/>
    <m/>
    <n v="49.800000000000004"/>
    <n v="33.200000000000003"/>
    <n v="49.800000000000004"/>
    <n v="8"/>
    <m/>
    <m/>
    <m/>
    <m/>
    <m/>
    <n v="1"/>
  </r>
  <r>
    <x v="2"/>
    <x v="105"/>
    <n v="1"/>
    <x v="38"/>
    <m/>
    <m/>
    <m/>
    <n v="152.72"/>
    <n v="33.200000000000003"/>
    <n v="152.72"/>
    <n v="9"/>
    <m/>
    <m/>
    <m/>
    <m/>
    <m/>
    <n v="1"/>
  </r>
  <r>
    <x v="2"/>
    <x v="105"/>
    <n v="1"/>
    <x v="93"/>
    <m/>
    <m/>
    <m/>
    <n v="126.16000000000001"/>
    <n v="33.200000000000003"/>
    <n v="126.16000000000001"/>
    <n v="9"/>
    <m/>
    <m/>
    <m/>
    <m/>
    <m/>
    <n v="1"/>
  </r>
  <r>
    <x v="2"/>
    <x v="105"/>
    <n v="1"/>
    <x v="31"/>
    <m/>
    <m/>
    <m/>
    <n v="136.12"/>
    <n v="33.200000000000003"/>
    <n v="136.12"/>
    <n v="11"/>
    <m/>
    <m/>
    <m/>
    <m/>
    <m/>
    <n v="1"/>
  </r>
  <r>
    <x v="2"/>
    <x v="106"/>
    <n v="4"/>
    <x v="5"/>
    <s v="S355"/>
    <m/>
    <m/>
    <n v="2023.1199999999997"/>
    <n v="41.8"/>
    <n v="505.77999999999992"/>
    <n v="6"/>
    <m/>
    <m/>
    <m/>
    <m/>
    <m/>
    <n v="4"/>
  </r>
  <r>
    <x v="2"/>
    <x v="106"/>
    <n v="1"/>
    <x v="18"/>
    <m/>
    <m/>
    <m/>
    <n v="108.67999999999998"/>
    <n v="41.8"/>
    <n v="108.67999999999998"/>
    <n v="11"/>
    <m/>
    <m/>
    <m/>
    <m/>
    <m/>
    <n v="1"/>
  </r>
  <r>
    <x v="2"/>
    <x v="107"/>
    <n v="1"/>
    <x v="56"/>
    <m/>
    <m/>
    <m/>
    <n v="360.36"/>
    <n v="46.2"/>
    <n v="360.36"/>
    <n v="4"/>
    <m/>
    <m/>
    <m/>
    <m/>
    <m/>
    <n v="1"/>
  </r>
  <r>
    <x v="2"/>
    <x v="107"/>
    <n v="3"/>
    <x v="5"/>
    <s v="S355J2"/>
    <s v="148783A"/>
    <m/>
    <n v="1677.06"/>
    <n v="46.2"/>
    <n v="559.02"/>
    <n v="6"/>
    <m/>
    <m/>
    <m/>
    <m/>
    <m/>
    <n v="3"/>
  </r>
  <r>
    <x v="2"/>
    <x v="107"/>
    <n v="1"/>
    <x v="48"/>
    <m/>
    <m/>
    <m/>
    <n v="60.060000000000009"/>
    <n v="46.2"/>
    <n v="60.060000000000009"/>
    <n v="8"/>
    <m/>
    <m/>
    <m/>
    <m/>
    <m/>
    <n v="1"/>
  </r>
  <r>
    <x v="2"/>
    <x v="107"/>
    <n v="1"/>
    <x v="94"/>
    <m/>
    <m/>
    <m/>
    <n v="258.72000000000003"/>
    <n v="46.2"/>
    <n v="258.72000000000003"/>
    <n v="8"/>
    <m/>
    <m/>
    <m/>
    <m/>
    <m/>
    <n v="1"/>
  </r>
  <r>
    <x v="2"/>
    <x v="108"/>
    <n v="3"/>
    <x v="21"/>
    <m/>
    <m/>
    <m/>
    <n v="872.64"/>
    <n v="60.6"/>
    <n v="290.88"/>
    <n v="8"/>
    <m/>
    <m/>
    <m/>
    <m/>
    <m/>
    <n v="3"/>
  </r>
  <r>
    <x v="2"/>
    <x v="109"/>
    <n v="1"/>
    <x v="49"/>
    <m/>
    <m/>
    <m/>
    <n v="107.7"/>
    <n v="71.8"/>
    <n v="107.7"/>
    <n v="11"/>
    <m/>
    <m/>
    <m/>
    <m/>
    <m/>
    <n v="1"/>
  </r>
  <r>
    <x v="2"/>
    <x v="110"/>
    <n v="5"/>
    <x v="5"/>
    <m/>
    <m/>
    <m/>
    <n v="522.72"/>
    <n v="8.64"/>
    <n v="104.544"/>
    <n v="1"/>
    <d v="2026-05-08T00:00:00"/>
    <n v="4"/>
    <m/>
    <m/>
    <m/>
    <n v="1"/>
  </r>
  <r>
    <x v="2"/>
    <x v="110"/>
    <n v="2"/>
    <x v="5"/>
    <m/>
    <m/>
    <m/>
    <n v="209.08799999999999"/>
    <n v="8.64"/>
    <n v="104.544"/>
    <n v="2"/>
    <m/>
    <m/>
    <m/>
    <m/>
    <m/>
    <n v="2"/>
  </r>
  <r>
    <x v="2"/>
    <x v="110"/>
    <n v="1"/>
    <x v="5"/>
    <m/>
    <m/>
    <m/>
    <n v="104.544"/>
    <n v="8.64"/>
    <n v="104.544"/>
    <n v="4"/>
    <m/>
    <m/>
    <m/>
    <m/>
    <m/>
    <n v="1"/>
  </r>
  <r>
    <x v="2"/>
    <x v="110"/>
    <n v="2"/>
    <x v="5"/>
    <s v="S275JR"/>
    <m/>
    <m/>
    <n v="209.08799999999999"/>
    <n v="8.64"/>
    <n v="104.544"/>
    <n v="5"/>
    <m/>
    <m/>
    <m/>
    <m/>
    <m/>
    <n v="2"/>
  </r>
  <r>
    <x v="2"/>
    <x v="111"/>
    <n v="11"/>
    <x v="5"/>
    <m/>
    <m/>
    <m/>
    <n v="2502.2799999999997"/>
    <n v="18.8"/>
    <n v="227.48"/>
    <n v="1"/>
    <m/>
    <m/>
    <m/>
    <m/>
    <m/>
    <n v="11"/>
  </r>
  <r>
    <x v="2"/>
    <x v="112"/>
    <n v="40"/>
    <x v="59"/>
    <s v="S355J0"/>
    <n v="630952"/>
    <s v="25_60"/>
    <n v="10936.800000000001"/>
    <n v="29.4"/>
    <n v="273.42"/>
    <n v="1"/>
    <m/>
    <m/>
    <m/>
    <m/>
    <m/>
    <n v="40"/>
  </r>
  <r>
    <x v="1"/>
    <x v="26"/>
    <n v="17"/>
    <x v="5"/>
    <s v="S275"/>
    <n v="72867"/>
    <s v="MAG"/>
    <n v="1316.48"/>
    <n v="6.4"/>
    <n v="77.44"/>
    <m/>
    <d v="2026-05-12T00:00:00"/>
    <n v="10"/>
    <m/>
    <m/>
    <m/>
    <n v="7"/>
  </r>
  <r>
    <x v="2"/>
    <x v="69"/>
    <n v="11"/>
    <x v="95"/>
    <s v="S275"/>
    <m/>
    <s v="MAG"/>
    <n v="1488.96"/>
    <n v="18.8"/>
    <n v="135.36000000000001"/>
    <m/>
    <d v="2026-05-15T00:00:00"/>
    <n v="1"/>
    <m/>
    <m/>
    <m/>
    <n v="10"/>
  </r>
  <r>
    <x v="3"/>
    <x v="113"/>
    <n v="14"/>
    <x v="4"/>
    <n v="355"/>
    <n v="3111881"/>
    <s v="25_60"/>
    <n v="6924.1200000000008"/>
    <n v="82.43"/>
    <n v="494.58000000000004"/>
    <m/>
    <d v="2026-05-14T00:00:00"/>
    <n v="5"/>
    <m/>
    <m/>
    <m/>
    <n v="9"/>
  </r>
  <r>
    <x v="3"/>
    <x v="113"/>
    <n v="13"/>
    <x v="4"/>
    <n v="355"/>
    <n v="3113253"/>
    <s v="25_60"/>
    <n v="6429.5400000000009"/>
    <n v="82.43"/>
    <n v="494.58000000000004"/>
    <m/>
    <m/>
    <m/>
    <m/>
    <m/>
    <m/>
    <n v="13"/>
  </r>
  <r>
    <x v="2"/>
    <x v="69"/>
    <n v="5"/>
    <x v="15"/>
    <s v="S275"/>
    <m/>
    <s v="MAG"/>
    <n v="197.39999999999998"/>
    <n v="18.8"/>
    <n v="39.479999999999997"/>
    <m/>
    <m/>
    <m/>
    <s v="residuo"/>
    <d v="2026-05-12T00:00:00"/>
    <m/>
    <n v="5"/>
  </r>
  <r>
    <x v="2"/>
    <x v="69"/>
    <n v="1"/>
    <x v="96"/>
    <s v="S275"/>
    <m/>
    <s v="MAG"/>
    <n v="107.16"/>
    <n v="18.8"/>
    <n v="107.16"/>
    <m/>
    <m/>
    <m/>
    <s v="residuo"/>
    <d v="2026-05-15T00:00:00"/>
    <m/>
    <n v="1"/>
  </r>
  <r>
    <x v="2"/>
    <x v="38"/>
    <n v="5"/>
    <x v="5"/>
    <m/>
    <s v="CE261534"/>
    <s v="25-50"/>
    <n v="3648.15"/>
    <n v="60.3"/>
    <n v="729.63"/>
    <n v="1"/>
    <m/>
    <m/>
    <m/>
    <m/>
    <m/>
    <n v="5"/>
  </r>
  <r>
    <x v="2"/>
    <x v="38"/>
    <n v="5"/>
    <x v="5"/>
    <m/>
    <s v="CE261542"/>
    <s v="25-50"/>
    <n v="3648.15"/>
    <n v="60.3"/>
    <n v="729.63"/>
    <n v="1"/>
    <m/>
    <m/>
    <s v="ddt12628"/>
    <d v="2026-05-18T00:00:00"/>
    <m/>
    <n v="5"/>
  </r>
  <r>
    <x v="2"/>
    <x v="35"/>
    <n v="75"/>
    <x v="95"/>
    <m/>
    <s v="CE638891"/>
    <s v="COMM26-04"/>
    <n v="19170"/>
    <n v="35.5"/>
    <n v="255.6"/>
    <n v="11"/>
    <d v="2026-05-20T00:00:00"/>
    <n v="4"/>
    <s v="ddt12628"/>
    <d v="2026-05-18T00:00:00"/>
    <m/>
    <n v="71"/>
  </r>
  <r>
    <x v="2"/>
    <x v="60"/>
    <n v="1"/>
    <x v="5"/>
    <s v="S355J2"/>
    <n v="65277"/>
    <m/>
    <n v="3170.2"/>
    <n v="262"/>
    <n v="3170.2"/>
    <n v="13"/>
    <d v="2026-05-19T00:00:00"/>
    <n v="1"/>
    <m/>
    <m/>
    <m/>
    <n v="0"/>
  </r>
  <r>
    <x v="2"/>
    <x v="60"/>
    <n v="1"/>
    <x v="14"/>
    <s v="S355J2"/>
    <n v="4556"/>
    <m/>
    <n v="497.8"/>
    <n v="262"/>
    <n v="497.8"/>
    <m/>
    <m/>
    <m/>
    <s v="residuo"/>
    <d v="2026-05-19T00:00:00"/>
    <m/>
    <n v="1"/>
  </r>
  <r>
    <x v="2"/>
    <x v="60"/>
    <n v="1"/>
    <x v="28"/>
    <s v="S355J2"/>
    <n v="80369"/>
    <m/>
    <n v="655"/>
    <n v="262"/>
    <n v="655"/>
    <m/>
    <m/>
    <m/>
    <s v="residuo"/>
    <d v="2026-05-19T00:00:00"/>
    <m/>
    <n v="1"/>
  </r>
  <r>
    <x v="2"/>
    <x v="60"/>
    <n v="1"/>
    <x v="41"/>
    <s v="S355J2"/>
    <n v="80865"/>
    <m/>
    <n v="353.7"/>
    <n v="262"/>
    <n v="353.7"/>
    <m/>
    <m/>
    <m/>
    <s v="residuo"/>
    <d v="2026-05-19T00:00:00"/>
    <m/>
    <n v="1"/>
  </r>
  <r>
    <x v="2"/>
    <x v="60"/>
    <n v="1"/>
    <x v="77"/>
    <s v="S355J2"/>
    <n v="65277"/>
    <m/>
    <n v="288.2"/>
    <n v="262"/>
    <n v="288.2"/>
    <m/>
    <m/>
    <m/>
    <s v="residuo"/>
    <d v="2026-05-19T00:00:00"/>
    <m/>
    <n v="1"/>
  </r>
  <r>
    <x v="1"/>
    <x v="114"/>
    <n v="15"/>
    <x v="4"/>
    <s v="S355"/>
    <m/>
    <m/>
    <m/>
    <m/>
    <n v="0"/>
    <m/>
    <m/>
    <m/>
    <m/>
    <m/>
    <m/>
    <n v="15"/>
  </r>
  <r>
    <x v="3"/>
    <x v="115"/>
    <n v="50"/>
    <x v="4"/>
    <s v="S275"/>
    <m/>
    <m/>
    <m/>
    <m/>
    <n v="0"/>
    <m/>
    <m/>
    <m/>
    <m/>
    <m/>
    <m/>
    <n v="50"/>
  </r>
  <r>
    <x v="4"/>
    <x v="116"/>
    <n v="410"/>
    <x v="4"/>
    <m/>
    <m/>
    <m/>
    <n v="2184.48"/>
    <n v="0.88800000000000001"/>
    <n v="5.3280000000000003"/>
    <m/>
    <m/>
    <m/>
    <m/>
    <m/>
    <m/>
    <n v="410"/>
  </r>
  <r>
    <x v="3"/>
    <x v="117"/>
    <n v="60"/>
    <x v="4"/>
    <s v="S275"/>
    <s v="BE235442"/>
    <m/>
    <m/>
    <m/>
    <n v="0"/>
    <m/>
    <m/>
    <m/>
    <m/>
    <m/>
    <m/>
    <n v="60"/>
  </r>
  <r>
    <x v="5"/>
    <x v="118"/>
    <n v="590"/>
    <x v="4"/>
    <s v="S275"/>
    <m/>
    <m/>
    <n v="4000.2"/>
    <n v="1.1299999999999999"/>
    <n v="6.7799999999999994"/>
    <m/>
    <m/>
    <m/>
    <m/>
    <m/>
    <m/>
    <n v="590"/>
  </r>
  <r>
    <x v="3"/>
    <x v="119"/>
    <n v="18"/>
    <x v="4"/>
    <s v="S275"/>
    <m/>
    <m/>
    <m/>
    <m/>
    <n v="0"/>
    <m/>
    <m/>
    <m/>
    <m/>
    <m/>
    <m/>
    <n v="18"/>
  </r>
  <r>
    <x v="3"/>
    <x v="120"/>
    <n v="65"/>
    <x v="4"/>
    <s v="S275"/>
    <m/>
    <m/>
    <m/>
    <m/>
    <n v="0"/>
    <m/>
    <m/>
    <m/>
    <m/>
    <m/>
    <m/>
    <n v="65"/>
  </r>
  <r>
    <x v="3"/>
    <x v="121"/>
    <n v="14"/>
    <x v="4"/>
    <s v="S275"/>
    <m/>
    <m/>
    <m/>
    <m/>
    <n v="0"/>
    <m/>
    <m/>
    <m/>
    <m/>
    <m/>
    <m/>
    <n v="14"/>
  </r>
  <r>
    <x v="3"/>
    <x v="122"/>
    <n v="6"/>
    <x v="4"/>
    <s v="S275"/>
    <m/>
    <m/>
    <m/>
    <m/>
    <n v="0"/>
    <m/>
    <m/>
    <m/>
    <m/>
    <m/>
    <m/>
    <n v="6"/>
  </r>
  <r>
    <x v="3"/>
    <x v="123"/>
    <n v="6"/>
    <x v="4"/>
    <s v="S275"/>
    <m/>
    <m/>
    <m/>
    <m/>
    <n v="0"/>
    <m/>
    <m/>
    <m/>
    <m/>
    <m/>
    <m/>
    <n v="6"/>
  </r>
  <r>
    <x v="3"/>
    <x v="124"/>
    <n v="6"/>
    <x v="4"/>
    <s v="S275"/>
    <m/>
    <m/>
    <m/>
    <m/>
    <n v="0"/>
    <m/>
    <m/>
    <m/>
    <m/>
    <m/>
    <m/>
    <n v="6"/>
  </r>
  <r>
    <x v="3"/>
    <x v="125"/>
    <n v="16"/>
    <x v="4"/>
    <s v="S275"/>
    <m/>
    <m/>
    <m/>
    <m/>
    <n v="0"/>
    <m/>
    <m/>
    <m/>
    <m/>
    <m/>
    <m/>
    <n v="16"/>
  </r>
  <r>
    <x v="3"/>
    <x v="126"/>
    <n v="2"/>
    <x v="4"/>
    <s v="S275"/>
    <m/>
    <m/>
    <m/>
    <m/>
    <n v="0"/>
    <m/>
    <m/>
    <m/>
    <m/>
    <m/>
    <m/>
    <n v="2"/>
  </r>
  <r>
    <x v="3"/>
    <x v="127"/>
    <n v="14"/>
    <x v="4"/>
    <s v="S275"/>
    <m/>
    <m/>
    <m/>
    <m/>
    <n v="0"/>
    <m/>
    <m/>
    <m/>
    <m/>
    <m/>
    <m/>
    <n v="14"/>
  </r>
  <r>
    <x v="3"/>
    <x v="128"/>
    <n v="6"/>
    <x v="4"/>
    <s v="S275"/>
    <m/>
    <m/>
    <m/>
    <m/>
    <n v="0"/>
    <m/>
    <m/>
    <m/>
    <m/>
    <m/>
    <m/>
    <n v="6"/>
  </r>
  <r>
    <x v="3"/>
    <x v="129"/>
    <n v="45"/>
    <x v="4"/>
    <s v="S275"/>
    <m/>
    <m/>
    <m/>
    <m/>
    <n v="0"/>
    <m/>
    <m/>
    <m/>
    <m/>
    <m/>
    <m/>
    <n v="45"/>
  </r>
  <r>
    <x v="3"/>
    <x v="130"/>
    <n v="10"/>
    <x v="4"/>
    <s v="S275"/>
    <m/>
    <m/>
    <m/>
    <m/>
    <n v="0"/>
    <m/>
    <m/>
    <m/>
    <m/>
    <m/>
    <m/>
    <n v="10"/>
  </r>
  <r>
    <x v="3"/>
    <x v="131"/>
    <n v="9"/>
    <x v="4"/>
    <s v="S275"/>
    <m/>
    <m/>
    <m/>
    <m/>
    <n v="0"/>
    <m/>
    <m/>
    <m/>
    <m/>
    <m/>
    <m/>
    <n v="9"/>
  </r>
  <r>
    <x v="3"/>
    <x v="132"/>
    <n v="102.76008492569002"/>
    <x v="4"/>
    <s v="S275"/>
    <m/>
    <m/>
    <n v="1936"/>
    <n v="3.14"/>
    <n v="18.84"/>
    <m/>
    <m/>
    <m/>
    <m/>
    <m/>
    <m/>
    <n v="102.76008492569002"/>
  </r>
  <r>
    <x v="3"/>
    <x v="133"/>
    <n v="133.59893758300134"/>
    <x v="4"/>
    <m/>
    <m/>
    <m/>
    <n v="2012"/>
    <n v="2.5099999999999998"/>
    <n v="15.059999999999999"/>
    <m/>
    <m/>
    <m/>
    <m/>
    <m/>
    <m/>
    <n v="133.59893758300134"/>
  </r>
  <r>
    <x v="3"/>
    <x v="134"/>
    <n v="20"/>
    <x v="4"/>
    <m/>
    <m/>
    <m/>
    <m/>
    <m/>
    <n v="0"/>
    <m/>
    <m/>
    <m/>
    <m/>
    <m/>
    <m/>
    <n v="20"/>
  </r>
  <r>
    <x v="3"/>
    <x v="135"/>
    <n v="6"/>
    <x v="4"/>
    <m/>
    <m/>
    <m/>
    <m/>
    <m/>
    <n v="0"/>
    <m/>
    <m/>
    <m/>
    <m/>
    <m/>
    <m/>
    <n v="6"/>
  </r>
  <r>
    <x v="4"/>
    <x v="136"/>
    <n v="333.33333333333331"/>
    <x v="4"/>
    <s v="S275"/>
    <s v="BE222171"/>
    <m/>
    <n v="4940"/>
    <n v="2.4700000000000002"/>
    <n v="14.820000000000002"/>
    <m/>
    <m/>
    <m/>
    <m/>
    <m/>
    <m/>
    <n v="333.33333333333331"/>
  </r>
  <r>
    <x v="4"/>
    <x v="137"/>
    <n v="119.23937360178972"/>
    <x v="4"/>
    <s v="S275"/>
    <s v="BE235675"/>
    <m/>
    <n v="2132"/>
    <n v="2.98"/>
    <n v="17.88"/>
    <m/>
    <m/>
    <m/>
    <m/>
    <m/>
    <m/>
    <n v="119.23937360178972"/>
  </r>
  <r>
    <x v="4"/>
    <x v="138"/>
    <n v="103"/>
    <x v="4"/>
    <s v="S275"/>
    <m/>
    <m/>
    <m/>
    <n v="3.55"/>
    <n v="21.3"/>
    <m/>
    <m/>
    <m/>
    <m/>
    <m/>
    <m/>
    <n v="103"/>
  </r>
  <r>
    <x v="4"/>
    <x v="139"/>
    <n v="60"/>
    <x v="4"/>
    <m/>
    <m/>
    <m/>
    <m/>
    <m/>
    <n v="0"/>
    <m/>
    <m/>
    <m/>
    <m/>
    <m/>
    <m/>
    <n v="6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n v="0"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n v="0"/>
  </r>
  <r>
    <x v="6"/>
    <x v="140"/>
    <m/>
    <x v="0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BD55D-655C-45A8-843A-CB9E73B15E39}" name="Tabella pivot2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CU146" firstHeaderRow="1" firstDataRow="2" firstDataCol="1" rowPageCount="1" colPageCount="1"/>
  <pivotFields count="17">
    <pivotField axis="axisPage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42">
        <item x="0"/>
        <item x="1"/>
        <item x="2"/>
        <item x="3"/>
        <item x="4"/>
        <item x="8"/>
        <item x="9"/>
        <item x="5"/>
        <item x="10"/>
        <item x="6"/>
        <item x="11"/>
        <item x="7"/>
        <item x="12"/>
        <item x="13"/>
        <item x="14"/>
        <item x="15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3" showAll="0"/>
    <pivotField axis="axisCol" showAll="0">
      <items count="98">
        <item x="90"/>
        <item x="39"/>
        <item x="77"/>
        <item x="40"/>
        <item x="43"/>
        <item x="48"/>
        <item x="41"/>
        <item x="30"/>
        <item x="65"/>
        <item x="49"/>
        <item x="23"/>
        <item x="29"/>
        <item x="80"/>
        <item x="24"/>
        <item x="14"/>
        <item x="42"/>
        <item x="33"/>
        <item x="15"/>
        <item x="87"/>
        <item x="70"/>
        <item x="7"/>
        <item x="10"/>
        <item x="28"/>
        <item x="18"/>
        <item x="32"/>
        <item x="6"/>
        <item x="16"/>
        <item x="67"/>
        <item x="83"/>
        <item x="20"/>
        <item x="84"/>
        <item x="89"/>
        <item x="86"/>
        <item x="27"/>
        <item x="17"/>
        <item x="13"/>
        <item x="93"/>
        <item x="78"/>
        <item x="22"/>
        <item x="31"/>
        <item x="44"/>
        <item x="51"/>
        <item x="81"/>
        <item x="38"/>
        <item x="21"/>
        <item x="92"/>
        <item x="54"/>
        <item x="66"/>
        <item x="26"/>
        <item x="3"/>
        <item x="94"/>
        <item x="19"/>
        <item x="4"/>
        <item x="53"/>
        <item x="52"/>
        <item x="25"/>
        <item x="71"/>
        <item x="82"/>
        <item x="12"/>
        <item x="85"/>
        <item x="75"/>
        <item x="11"/>
        <item x="34"/>
        <item x="46"/>
        <item x="56"/>
        <item x="58"/>
        <item x="79"/>
        <item x="72"/>
        <item x="64"/>
        <item x="57"/>
        <item x="47"/>
        <item x="9"/>
        <item x="59"/>
        <item x="68"/>
        <item x="91"/>
        <item x="73"/>
        <item x="37"/>
        <item x="8"/>
        <item x="74"/>
        <item x="61"/>
        <item x="76"/>
        <item x="63"/>
        <item x="69"/>
        <item x="2"/>
        <item x="5"/>
        <item x="55"/>
        <item x="60"/>
        <item x="62"/>
        <item x="36"/>
        <item x="45"/>
        <item x="88"/>
        <item x="35"/>
        <item x="50"/>
        <item x="1"/>
        <item x="0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Fields count="1">
    <field x="3"/>
  </colFields>
  <colItems count="9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colItems>
  <pageFields count="1">
    <pageField fld="0" hier="-1"/>
  </pageFields>
  <dataFields count="1">
    <dataField name="Somma di N° PEZZI ATTUALE" fld="16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3" type="button" dataOnly="0" labelOnly="1" outline="0" axis="axisCol" fieldPosition="0"/>
    </format>
    <format dxfId="9">
      <pivotArea type="topRight" dataOnly="0" labelOnly="1" outline="0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3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6">
      <pivotArea dataOnly="0" labelOnly="1" fieldPosition="0">
        <references count="1">
          <reference field="1" count="50"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</reference>
        </references>
      </pivotArea>
    </format>
    <format dxfId="5">
      <pivotArea dataOnly="0" labelOnly="1" fieldPosition="0">
        <references count="1">
          <reference field="1" count="13"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</reference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">
      <pivotArea dataOnly="0" labelOnly="1" fieldPosition="0">
        <references count="1">
          <reference field="3" count="4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</reference>
        </references>
      </pivotArea>
    </format>
    <format dxfId="1">
      <pivotArea dataOnly="0" labelOnly="1" grandCol="1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1866-CD8B-4AEB-B3FF-D0352AE5F976}">
  <sheetPr codeName="Foglio1"/>
  <dimension ref="A1:U1028"/>
  <sheetViews>
    <sheetView tabSelected="1" zoomScale="120" zoomScaleNormal="120" workbookViewId="0">
      <pane ySplit="1" topLeftCell="A20" activePane="bottomLeft" state="frozen"/>
      <selection pane="bottomLeft" activeCell="K1000" sqref="K1000"/>
    </sheetView>
  </sheetViews>
  <sheetFormatPr defaultColWidth="8.88671875" defaultRowHeight="14.4" x14ac:dyDescent="0.3"/>
  <cols>
    <col min="1" max="1" width="20.5546875" style="2" customWidth="1"/>
    <col min="2" max="2" width="15" style="2" customWidth="1"/>
    <col min="3" max="3" width="10.33203125" style="2" bestFit="1" customWidth="1"/>
    <col min="4" max="4" width="13.88671875" style="2" bestFit="1" customWidth="1"/>
    <col min="5" max="5" width="9" style="2" bestFit="1" customWidth="1"/>
    <col min="6" max="6" width="17.5546875" style="4" bestFit="1" customWidth="1"/>
    <col min="7" max="7" width="12" style="2" customWidth="1"/>
    <col min="8" max="8" width="11.33203125" style="2" customWidth="1"/>
    <col min="9" max="9" width="12.109375" style="29" customWidth="1"/>
    <col min="10" max="10" width="15.109375" style="8" customWidth="1"/>
    <col min="11" max="11" width="8.88671875" style="2" customWidth="1"/>
    <col min="12" max="12" width="11.44140625" style="22" bestFit="1" customWidth="1"/>
    <col min="13" max="14" width="8.88671875" style="2"/>
    <col min="15" max="15" width="11.44140625" style="22" bestFit="1" customWidth="1"/>
    <col min="16" max="19" width="8.88671875" style="2"/>
    <col min="20" max="20" width="17" style="2" bestFit="1" customWidth="1"/>
    <col min="21" max="21" width="10.6640625" style="2" bestFit="1" customWidth="1"/>
    <col min="22" max="16384" width="8.88671875" style="2"/>
  </cols>
  <sheetData>
    <row r="1" spans="1:21" ht="30.6" x14ac:dyDescent="0.3">
      <c r="A1" s="1" t="s">
        <v>0</v>
      </c>
      <c r="B1" s="1" t="s">
        <v>1</v>
      </c>
      <c r="C1" s="1" t="s">
        <v>2</v>
      </c>
      <c r="D1" s="1" t="s">
        <v>165</v>
      </c>
      <c r="E1" s="1" t="s">
        <v>3</v>
      </c>
      <c r="F1" s="3" t="s">
        <v>4</v>
      </c>
      <c r="G1" s="3" t="s">
        <v>16</v>
      </c>
      <c r="H1" s="3" t="s">
        <v>110</v>
      </c>
      <c r="I1" s="29" t="s">
        <v>167</v>
      </c>
      <c r="J1" s="8" t="s">
        <v>163</v>
      </c>
      <c r="K1" s="12" t="s">
        <v>38</v>
      </c>
      <c r="L1" s="20" t="s">
        <v>172</v>
      </c>
      <c r="M1" s="13" t="s">
        <v>173</v>
      </c>
      <c r="N1" s="25" t="s">
        <v>177</v>
      </c>
      <c r="O1" s="23" t="s">
        <v>174</v>
      </c>
      <c r="P1" s="15" t="s">
        <v>178</v>
      </c>
      <c r="Q1" s="19" t="s">
        <v>176</v>
      </c>
      <c r="R1" s="18"/>
      <c r="S1" s="18"/>
      <c r="T1" s="2" t="s">
        <v>175</v>
      </c>
      <c r="U1" s="17">
        <v>46153</v>
      </c>
    </row>
    <row r="2" spans="1:21" x14ac:dyDescent="0.3">
      <c r="A2" s="2" t="s">
        <v>147</v>
      </c>
      <c r="B2" s="2">
        <v>1</v>
      </c>
      <c r="C2" s="2">
        <v>24</v>
      </c>
      <c r="E2" s="2" t="s">
        <v>135</v>
      </c>
      <c r="H2" s="2">
        <f t="shared" ref="H2:H20" si="0">+C2*J2</f>
        <v>847.92</v>
      </c>
      <c r="J2" s="8">
        <v>35.33</v>
      </c>
      <c r="K2" s="2" t="s">
        <v>162</v>
      </c>
      <c r="L2" s="21"/>
      <c r="M2" s="14"/>
      <c r="N2" s="26"/>
      <c r="O2" s="24"/>
      <c r="P2" s="16"/>
      <c r="Q2" s="2">
        <f t="shared" ref="Q2:Q19" si="1">C2-M2+P2</f>
        <v>24</v>
      </c>
    </row>
    <row r="3" spans="1:21" x14ac:dyDescent="0.3">
      <c r="A3" s="2" t="s">
        <v>147</v>
      </c>
      <c r="B3" s="8">
        <v>1.5</v>
      </c>
      <c r="C3" s="2">
        <v>18</v>
      </c>
      <c r="E3" s="2" t="s">
        <v>135</v>
      </c>
      <c r="H3" s="2">
        <f t="shared" si="0"/>
        <v>954</v>
      </c>
      <c r="J3" s="8">
        <v>53</v>
      </c>
      <c r="K3" s="2" t="s">
        <v>162</v>
      </c>
      <c r="L3" s="21"/>
      <c r="M3" s="14"/>
      <c r="N3" s="26"/>
      <c r="O3" s="24"/>
      <c r="P3" s="16"/>
      <c r="Q3" s="2">
        <f t="shared" si="1"/>
        <v>18</v>
      </c>
    </row>
    <row r="4" spans="1:21" x14ac:dyDescent="0.3">
      <c r="A4" s="2" t="s">
        <v>147</v>
      </c>
      <c r="B4" s="2">
        <v>2</v>
      </c>
      <c r="C4" s="2">
        <v>54</v>
      </c>
      <c r="E4" s="2" t="s">
        <v>135</v>
      </c>
      <c r="H4" s="2">
        <f t="shared" si="0"/>
        <v>3834</v>
      </c>
      <c r="J4" s="8">
        <v>71</v>
      </c>
      <c r="K4" s="2" t="s">
        <v>162</v>
      </c>
      <c r="L4" s="21"/>
      <c r="M4" s="14"/>
      <c r="N4" s="26"/>
      <c r="O4" s="24"/>
      <c r="P4" s="16"/>
      <c r="Q4" s="2">
        <f t="shared" si="1"/>
        <v>54</v>
      </c>
    </row>
    <row r="5" spans="1:21" x14ac:dyDescent="0.3">
      <c r="A5" s="2" t="s">
        <v>147</v>
      </c>
      <c r="B5" s="2">
        <v>3</v>
      </c>
      <c r="C5" s="2">
        <v>48</v>
      </c>
      <c r="E5" s="2" t="s">
        <v>135</v>
      </c>
      <c r="H5" s="2">
        <f t="shared" si="0"/>
        <v>5088</v>
      </c>
      <c r="J5" s="8">
        <v>106</v>
      </c>
      <c r="K5" s="2" t="s">
        <v>162</v>
      </c>
      <c r="L5" s="21"/>
      <c r="M5" s="14"/>
      <c r="N5" s="26"/>
      <c r="O5" s="24"/>
      <c r="P5" s="16"/>
      <c r="Q5" s="2">
        <f t="shared" si="1"/>
        <v>48</v>
      </c>
    </row>
    <row r="6" spans="1:21" x14ac:dyDescent="0.3">
      <c r="A6" s="2" t="s">
        <v>147</v>
      </c>
      <c r="B6" s="2">
        <v>4</v>
      </c>
      <c r="C6" s="2">
        <v>12</v>
      </c>
      <c r="E6" s="2" t="s">
        <v>135</v>
      </c>
      <c r="H6" s="2">
        <f t="shared" si="0"/>
        <v>1695.6000000000001</v>
      </c>
      <c r="J6" s="8">
        <v>141.30000000000001</v>
      </c>
      <c r="K6" s="2" t="s">
        <v>162</v>
      </c>
      <c r="L6" s="21"/>
      <c r="M6" s="14"/>
      <c r="N6" s="26"/>
      <c r="O6" s="24"/>
      <c r="P6" s="16"/>
      <c r="Q6" s="2">
        <f t="shared" si="1"/>
        <v>12</v>
      </c>
    </row>
    <row r="7" spans="1:21" x14ac:dyDescent="0.3">
      <c r="A7" s="2" t="s">
        <v>147</v>
      </c>
      <c r="B7" s="7" t="s">
        <v>158</v>
      </c>
      <c r="C7" s="2">
        <v>43</v>
      </c>
      <c r="D7" s="7" t="s">
        <v>166</v>
      </c>
      <c r="H7" s="2">
        <f t="shared" si="0"/>
        <v>2279</v>
      </c>
      <c r="J7" s="8">
        <v>53</v>
      </c>
      <c r="K7" s="2" t="s">
        <v>162</v>
      </c>
      <c r="L7" s="21"/>
      <c r="M7" s="14"/>
      <c r="N7" s="26"/>
      <c r="O7" s="24"/>
      <c r="P7" s="16"/>
      <c r="Q7" s="2">
        <f t="shared" si="1"/>
        <v>43</v>
      </c>
    </row>
    <row r="8" spans="1:21" x14ac:dyDescent="0.3">
      <c r="A8" s="2" t="s">
        <v>147</v>
      </c>
      <c r="B8" s="7" t="s">
        <v>158</v>
      </c>
      <c r="C8" s="2">
        <v>6</v>
      </c>
      <c r="D8" s="7" t="s">
        <v>166</v>
      </c>
      <c r="E8" s="2" t="s">
        <v>180</v>
      </c>
      <c r="H8" s="2">
        <f t="shared" si="0"/>
        <v>318</v>
      </c>
      <c r="J8" s="8">
        <v>53</v>
      </c>
      <c r="K8" s="2" t="s">
        <v>162</v>
      </c>
      <c r="L8" s="21"/>
      <c r="M8" s="14"/>
      <c r="N8" s="26"/>
      <c r="O8" s="24"/>
      <c r="P8" s="16"/>
      <c r="Q8" s="2">
        <f t="shared" si="1"/>
        <v>6</v>
      </c>
    </row>
    <row r="9" spans="1:21" x14ac:dyDescent="0.3">
      <c r="A9" s="2" t="s">
        <v>147</v>
      </c>
      <c r="B9" s="7" t="s">
        <v>157</v>
      </c>
      <c r="C9" s="2">
        <v>7</v>
      </c>
      <c r="D9" s="7" t="s">
        <v>166</v>
      </c>
      <c r="H9" s="2">
        <f t="shared" si="0"/>
        <v>497</v>
      </c>
      <c r="J9" s="8">
        <v>71</v>
      </c>
      <c r="K9" s="2" t="s">
        <v>162</v>
      </c>
      <c r="L9" s="21"/>
      <c r="M9" s="14"/>
      <c r="N9" s="26"/>
      <c r="O9" s="24"/>
      <c r="P9" s="16"/>
      <c r="Q9" s="2">
        <f t="shared" si="1"/>
        <v>7</v>
      </c>
    </row>
    <row r="10" spans="1:21" x14ac:dyDescent="0.3">
      <c r="A10" s="2" t="s">
        <v>147</v>
      </c>
      <c r="B10" s="7" t="s">
        <v>157</v>
      </c>
      <c r="C10" s="2">
        <v>4</v>
      </c>
      <c r="D10" s="7" t="s">
        <v>166</v>
      </c>
      <c r="E10" s="2" t="s">
        <v>180</v>
      </c>
      <c r="H10" s="2">
        <f t="shared" si="0"/>
        <v>284</v>
      </c>
      <c r="J10" s="8">
        <v>71</v>
      </c>
      <c r="K10" s="2" t="s">
        <v>162</v>
      </c>
      <c r="L10" s="21"/>
      <c r="M10" s="14"/>
      <c r="N10" s="26"/>
      <c r="O10" s="24"/>
      <c r="P10" s="16"/>
      <c r="Q10" s="2">
        <f t="shared" si="1"/>
        <v>4</v>
      </c>
    </row>
    <row r="11" spans="1:21" x14ac:dyDescent="0.3">
      <c r="A11" s="2" t="s">
        <v>147</v>
      </c>
      <c r="B11" s="7" t="s">
        <v>156</v>
      </c>
      <c r="C11" s="2">
        <v>43</v>
      </c>
      <c r="D11" s="7" t="s">
        <v>166</v>
      </c>
      <c r="H11" s="2">
        <f t="shared" si="0"/>
        <v>4558</v>
      </c>
      <c r="J11" s="8">
        <v>106</v>
      </c>
      <c r="K11" s="2" t="s">
        <v>162</v>
      </c>
      <c r="L11" s="21"/>
      <c r="M11" s="14"/>
      <c r="N11" s="26"/>
      <c r="O11" s="24"/>
      <c r="P11" s="16"/>
      <c r="Q11" s="2">
        <f t="shared" si="1"/>
        <v>43</v>
      </c>
    </row>
    <row r="12" spans="1:21" x14ac:dyDescent="0.3">
      <c r="A12" s="2" t="s">
        <v>147</v>
      </c>
      <c r="B12" s="7" t="s">
        <v>151</v>
      </c>
      <c r="C12" s="2">
        <v>10</v>
      </c>
      <c r="D12" s="7" t="s">
        <v>166</v>
      </c>
      <c r="E12" s="2" t="s">
        <v>33</v>
      </c>
      <c r="H12" s="2">
        <f t="shared" si="0"/>
        <v>3530</v>
      </c>
      <c r="J12" s="8">
        <v>353</v>
      </c>
      <c r="K12" s="2" t="s">
        <v>162</v>
      </c>
      <c r="L12" s="21"/>
      <c r="M12" s="14"/>
      <c r="N12" s="26"/>
      <c r="O12" s="24"/>
      <c r="P12" s="16"/>
      <c r="Q12" s="2">
        <f t="shared" si="1"/>
        <v>10</v>
      </c>
    </row>
    <row r="13" spans="1:21" x14ac:dyDescent="0.3">
      <c r="A13" s="2" t="s">
        <v>147</v>
      </c>
      <c r="B13" s="7" t="s">
        <v>151</v>
      </c>
      <c r="C13" s="2">
        <v>10</v>
      </c>
      <c r="D13" s="7" t="s">
        <v>166</v>
      </c>
      <c r="E13" s="2" t="s">
        <v>12</v>
      </c>
      <c r="H13" s="2">
        <f t="shared" si="0"/>
        <v>3530</v>
      </c>
      <c r="J13" s="8">
        <v>353</v>
      </c>
      <c r="K13" s="2" t="s">
        <v>162</v>
      </c>
      <c r="L13" s="21"/>
      <c r="M13" s="14"/>
      <c r="N13" s="26"/>
      <c r="O13" s="24"/>
      <c r="P13" s="16"/>
      <c r="Q13" s="2">
        <f t="shared" si="1"/>
        <v>10</v>
      </c>
    </row>
    <row r="14" spans="1:21" x14ac:dyDescent="0.3">
      <c r="A14" s="2" t="s">
        <v>147</v>
      </c>
      <c r="B14" s="7" t="s">
        <v>150</v>
      </c>
      <c r="C14" s="2">
        <v>19</v>
      </c>
      <c r="D14" s="7" t="s">
        <v>166</v>
      </c>
      <c r="H14" s="2">
        <f t="shared" si="0"/>
        <v>8037</v>
      </c>
      <c r="J14" s="8">
        <v>423</v>
      </c>
      <c r="K14" s="2" t="s">
        <v>162</v>
      </c>
      <c r="L14" s="21"/>
      <c r="M14" s="14"/>
      <c r="N14" s="26"/>
      <c r="O14" s="24"/>
      <c r="P14" s="16"/>
      <c r="Q14" s="2">
        <f t="shared" si="1"/>
        <v>19</v>
      </c>
    </row>
    <row r="15" spans="1:21" x14ac:dyDescent="0.3">
      <c r="A15" s="2" t="s">
        <v>147</v>
      </c>
      <c r="B15" s="7" t="s">
        <v>149</v>
      </c>
      <c r="C15" s="2">
        <v>13</v>
      </c>
      <c r="D15" s="7" t="s">
        <v>166</v>
      </c>
      <c r="H15" s="2">
        <f t="shared" si="0"/>
        <v>6877</v>
      </c>
      <c r="J15" s="8">
        <v>529</v>
      </c>
      <c r="K15" s="2" t="s">
        <v>162</v>
      </c>
      <c r="L15" s="21"/>
      <c r="M15" s="14"/>
      <c r="N15" s="26"/>
      <c r="O15" s="24"/>
      <c r="P15" s="16"/>
      <c r="Q15" s="2">
        <f t="shared" si="1"/>
        <v>13</v>
      </c>
    </row>
    <row r="16" spans="1:21" x14ac:dyDescent="0.3">
      <c r="A16" s="2" t="s">
        <v>147</v>
      </c>
      <c r="B16" s="7" t="s">
        <v>148</v>
      </c>
      <c r="C16" s="2">
        <v>2</v>
      </c>
      <c r="D16" s="7" t="s">
        <v>166</v>
      </c>
      <c r="H16" s="2">
        <f t="shared" si="0"/>
        <v>1412</v>
      </c>
      <c r="J16" s="8">
        <v>706</v>
      </c>
      <c r="K16" s="2" t="s">
        <v>162</v>
      </c>
      <c r="L16" s="21"/>
      <c r="M16" s="14"/>
      <c r="N16" s="26"/>
      <c r="O16" s="24"/>
      <c r="P16" s="16"/>
      <c r="Q16" s="2">
        <f t="shared" si="1"/>
        <v>2</v>
      </c>
    </row>
    <row r="17" spans="1:17" x14ac:dyDescent="0.3">
      <c r="A17" s="2" t="s">
        <v>147</v>
      </c>
      <c r="B17" s="7" t="s">
        <v>155</v>
      </c>
      <c r="C17" s="2">
        <v>31</v>
      </c>
      <c r="D17" s="7" t="s">
        <v>166</v>
      </c>
      <c r="H17" s="2">
        <f t="shared" si="0"/>
        <v>4380.3</v>
      </c>
      <c r="J17" s="8">
        <v>141.30000000000001</v>
      </c>
      <c r="K17" s="2" t="s">
        <v>162</v>
      </c>
      <c r="L17" s="21"/>
      <c r="M17" s="14"/>
      <c r="N17" s="26"/>
      <c r="O17" s="24"/>
      <c r="P17" s="16"/>
      <c r="Q17" s="2">
        <f t="shared" si="1"/>
        <v>31</v>
      </c>
    </row>
    <row r="18" spans="1:17" x14ac:dyDescent="0.3">
      <c r="A18" s="2" t="s">
        <v>147</v>
      </c>
      <c r="B18" s="7" t="s">
        <v>154</v>
      </c>
      <c r="C18" s="2">
        <v>18</v>
      </c>
      <c r="D18" s="7" t="s">
        <v>166</v>
      </c>
      <c r="H18" s="2">
        <f t="shared" si="0"/>
        <v>3179.34</v>
      </c>
      <c r="J18" s="8">
        <v>176.63</v>
      </c>
      <c r="K18" s="2" t="s">
        <v>162</v>
      </c>
      <c r="L18" s="21"/>
      <c r="M18" s="14"/>
      <c r="N18" s="26"/>
      <c r="O18" s="24"/>
      <c r="P18" s="16"/>
      <c r="Q18" s="2">
        <f t="shared" si="1"/>
        <v>18</v>
      </c>
    </row>
    <row r="19" spans="1:17" x14ac:dyDescent="0.3">
      <c r="A19" s="2" t="s">
        <v>147</v>
      </c>
      <c r="B19" s="7" t="s">
        <v>153</v>
      </c>
      <c r="C19" s="2">
        <v>20</v>
      </c>
      <c r="D19" s="7" t="s">
        <v>166</v>
      </c>
      <c r="H19" s="2">
        <f t="shared" si="0"/>
        <v>4239</v>
      </c>
      <c r="J19" s="8">
        <v>211.95</v>
      </c>
      <c r="K19" s="2" t="s">
        <v>162</v>
      </c>
      <c r="L19" s="21"/>
      <c r="M19" s="14"/>
      <c r="N19" s="26"/>
      <c r="O19" s="24"/>
      <c r="P19" s="16"/>
      <c r="Q19" s="2">
        <f t="shared" si="1"/>
        <v>20</v>
      </c>
    </row>
    <row r="20" spans="1:17" x14ac:dyDescent="0.3">
      <c r="A20" s="2" t="s">
        <v>147</v>
      </c>
      <c r="B20" s="7" t="s">
        <v>152</v>
      </c>
      <c r="C20" s="2">
        <v>16</v>
      </c>
      <c r="D20" s="7" t="s">
        <v>166</v>
      </c>
      <c r="H20" s="2">
        <f t="shared" si="0"/>
        <v>4521.6000000000004</v>
      </c>
      <c r="J20" s="8">
        <v>282.60000000000002</v>
      </c>
      <c r="K20" s="2" t="s">
        <v>162</v>
      </c>
      <c r="L20" s="21"/>
      <c r="M20" s="14"/>
      <c r="N20" s="26"/>
      <c r="O20" s="24"/>
      <c r="P20" s="16"/>
      <c r="Q20" s="2">
        <f>C20-M20+P20</f>
        <v>16</v>
      </c>
    </row>
    <row r="21" spans="1:17" x14ac:dyDescent="0.3">
      <c r="A21" s="2" t="s">
        <v>145</v>
      </c>
      <c r="B21" s="2" t="s">
        <v>183</v>
      </c>
      <c r="C21" s="2">
        <f>+H21/J21</f>
        <v>14.23841059602649</v>
      </c>
      <c r="D21" s="2">
        <v>12000</v>
      </c>
      <c r="E21" s="2" t="s">
        <v>33</v>
      </c>
      <c r="F21" s="4" t="s">
        <v>109</v>
      </c>
      <c r="G21" s="2" t="s">
        <v>17</v>
      </c>
      <c r="H21" s="2">
        <v>2580</v>
      </c>
      <c r="I21" s="29">
        <v>15.1</v>
      </c>
      <c r="J21" s="8">
        <f>I21*D21/1000</f>
        <v>181.2</v>
      </c>
      <c r="K21" s="2" t="s">
        <v>111</v>
      </c>
      <c r="L21" s="21"/>
      <c r="M21" s="14"/>
      <c r="N21" s="26"/>
      <c r="O21" s="24"/>
      <c r="P21" s="16"/>
      <c r="Q21" s="2">
        <f t="shared" ref="Q21:Q84" si="2">C21-M21+P21</f>
        <v>14.23841059602649</v>
      </c>
    </row>
    <row r="22" spans="1:17" x14ac:dyDescent="0.3">
      <c r="A22" s="2" t="s">
        <v>145</v>
      </c>
      <c r="B22" s="2" t="s">
        <v>183</v>
      </c>
      <c r="C22" s="2">
        <v>1</v>
      </c>
      <c r="D22" s="2">
        <v>12000</v>
      </c>
      <c r="H22" s="8">
        <v>181.2</v>
      </c>
      <c r="I22" s="29">
        <v>15.1</v>
      </c>
      <c r="J22" s="8">
        <f t="shared" ref="J22:J23" si="3">I22*D22/1000</f>
        <v>181.2</v>
      </c>
      <c r="K22" s="2" t="s">
        <v>111</v>
      </c>
      <c r="L22" s="21"/>
      <c r="M22" s="14"/>
      <c r="N22" s="26"/>
      <c r="O22" s="24"/>
      <c r="P22" s="16"/>
      <c r="Q22" s="2">
        <f t="shared" si="2"/>
        <v>1</v>
      </c>
    </row>
    <row r="23" spans="1:17" x14ac:dyDescent="0.3">
      <c r="A23" s="2" t="s">
        <v>145</v>
      </c>
      <c r="B23" s="2" t="s">
        <v>183</v>
      </c>
      <c r="C23" s="2">
        <v>14</v>
      </c>
      <c r="D23" s="2">
        <v>12000</v>
      </c>
      <c r="E23" s="2" t="s">
        <v>12</v>
      </c>
      <c r="F23" s="4" t="s">
        <v>116</v>
      </c>
      <c r="G23" s="2" t="s">
        <v>118</v>
      </c>
      <c r="H23" s="2">
        <v>2580</v>
      </c>
      <c r="I23" s="29">
        <v>15.1</v>
      </c>
      <c r="J23" s="8">
        <f t="shared" si="3"/>
        <v>181.2</v>
      </c>
      <c r="K23" s="2" t="s">
        <v>117</v>
      </c>
      <c r="L23" s="21">
        <v>46162</v>
      </c>
      <c r="M23" s="14">
        <v>13</v>
      </c>
      <c r="N23" s="26"/>
      <c r="O23" s="24"/>
      <c r="P23" s="16"/>
      <c r="Q23" s="2">
        <f t="shared" si="2"/>
        <v>1</v>
      </c>
    </row>
    <row r="24" spans="1:17" x14ac:dyDescent="0.3">
      <c r="A24" s="2" t="s">
        <v>145</v>
      </c>
      <c r="B24" s="2" t="s">
        <v>183</v>
      </c>
      <c r="C24" s="2">
        <f t="shared" ref="C24:C35" si="4">+H24/J24</f>
        <v>14.23841059602649</v>
      </c>
      <c r="D24" s="2">
        <v>12000</v>
      </c>
      <c r="E24" s="2" t="s">
        <v>33</v>
      </c>
      <c r="F24" s="4" t="s">
        <v>109</v>
      </c>
      <c r="G24" s="2" t="s">
        <v>17</v>
      </c>
      <c r="H24" s="2">
        <v>2580</v>
      </c>
      <c r="I24" s="29">
        <v>15.1</v>
      </c>
      <c r="J24" s="8">
        <f t="shared" ref="J24:J46" si="5">I24*D24/1000</f>
        <v>181.2</v>
      </c>
      <c r="K24" s="2" t="s">
        <v>117</v>
      </c>
      <c r="L24" s="21"/>
      <c r="M24" s="14"/>
      <c r="N24" s="26"/>
      <c r="O24" s="24"/>
      <c r="P24" s="16"/>
      <c r="Q24" s="2">
        <f t="shared" si="2"/>
        <v>14.23841059602649</v>
      </c>
    </row>
    <row r="25" spans="1:17" x14ac:dyDescent="0.3">
      <c r="A25" s="2" t="s">
        <v>145</v>
      </c>
      <c r="B25" s="2" t="s">
        <v>183</v>
      </c>
      <c r="C25" s="2">
        <f t="shared" si="4"/>
        <v>14.23841059602649</v>
      </c>
      <c r="D25" s="2">
        <v>12000</v>
      </c>
      <c r="E25" s="2" t="s">
        <v>33</v>
      </c>
      <c r="F25" s="4" t="s">
        <v>109</v>
      </c>
      <c r="G25" s="2" t="s">
        <v>17</v>
      </c>
      <c r="H25" s="2">
        <v>2580</v>
      </c>
      <c r="I25" s="29">
        <v>15.1</v>
      </c>
      <c r="J25" s="8">
        <f t="shared" si="5"/>
        <v>181.2</v>
      </c>
      <c r="K25" s="2" t="s">
        <v>117</v>
      </c>
      <c r="L25" s="21"/>
      <c r="M25" s="14"/>
      <c r="N25" s="26"/>
      <c r="O25" s="24"/>
      <c r="P25" s="16"/>
      <c r="Q25" s="2">
        <f t="shared" si="2"/>
        <v>14.23841059602649</v>
      </c>
    </row>
    <row r="26" spans="1:17" x14ac:dyDescent="0.3">
      <c r="A26" s="2" t="s">
        <v>145</v>
      </c>
      <c r="B26" s="2" t="s">
        <v>183</v>
      </c>
      <c r="C26" s="2">
        <f t="shared" si="4"/>
        <v>14.23841059602649</v>
      </c>
      <c r="D26" s="2">
        <v>12000</v>
      </c>
      <c r="E26" s="2" t="s">
        <v>33</v>
      </c>
      <c r="F26" s="4" t="s">
        <v>109</v>
      </c>
      <c r="G26" s="2" t="s">
        <v>17</v>
      </c>
      <c r="H26" s="2">
        <v>2580</v>
      </c>
      <c r="I26" s="29">
        <v>15.1</v>
      </c>
      <c r="J26" s="8">
        <f t="shared" si="5"/>
        <v>181.2</v>
      </c>
      <c r="K26" s="2" t="s">
        <v>117</v>
      </c>
      <c r="L26" s="21"/>
      <c r="M26" s="14"/>
      <c r="N26" s="26"/>
      <c r="O26" s="24"/>
      <c r="P26" s="16"/>
      <c r="Q26" s="2">
        <f t="shared" si="2"/>
        <v>14.23841059602649</v>
      </c>
    </row>
    <row r="27" spans="1:17" x14ac:dyDescent="0.3">
      <c r="A27" s="2" t="s">
        <v>145</v>
      </c>
      <c r="B27" s="2" t="s">
        <v>184</v>
      </c>
      <c r="C27" s="2">
        <f t="shared" si="4"/>
        <v>14.04494382022472</v>
      </c>
      <c r="D27" s="2">
        <v>12000</v>
      </c>
      <c r="E27" s="2" t="s">
        <v>33</v>
      </c>
      <c r="F27" s="4">
        <v>3117964</v>
      </c>
      <c r="H27" s="2">
        <v>3000</v>
      </c>
      <c r="I27" s="29">
        <v>17.8</v>
      </c>
      <c r="J27" s="8">
        <f t="shared" si="5"/>
        <v>213.6</v>
      </c>
      <c r="K27" s="2" t="s">
        <v>111</v>
      </c>
      <c r="L27" s="21"/>
      <c r="M27" s="14"/>
      <c r="N27" s="26"/>
      <c r="O27" s="24"/>
      <c r="P27" s="16"/>
      <c r="Q27" s="2">
        <f t="shared" si="2"/>
        <v>14.04494382022472</v>
      </c>
    </row>
    <row r="28" spans="1:17" x14ac:dyDescent="0.3">
      <c r="A28" s="2" t="s">
        <v>145</v>
      </c>
      <c r="B28" s="2" t="s">
        <v>184</v>
      </c>
      <c r="C28" s="2">
        <f t="shared" si="4"/>
        <v>14.04494382022472</v>
      </c>
      <c r="D28" s="2">
        <v>12000</v>
      </c>
      <c r="E28" s="2" t="s">
        <v>33</v>
      </c>
      <c r="F28" s="4">
        <v>3117964</v>
      </c>
      <c r="H28" s="2">
        <v>3000</v>
      </c>
      <c r="I28" s="29">
        <v>17.8</v>
      </c>
      <c r="J28" s="8">
        <f t="shared" si="5"/>
        <v>213.6</v>
      </c>
      <c r="K28" s="2" t="s">
        <v>111</v>
      </c>
      <c r="L28" s="21"/>
      <c r="M28" s="14"/>
      <c r="N28" s="26"/>
      <c r="O28" s="24"/>
      <c r="P28" s="16"/>
      <c r="Q28" s="2">
        <f t="shared" si="2"/>
        <v>14.04494382022472</v>
      </c>
    </row>
    <row r="29" spans="1:17" x14ac:dyDescent="0.3">
      <c r="A29" s="2" t="s">
        <v>145</v>
      </c>
      <c r="B29" s="2" t="s">
        <v>184</v>
      </c>
      <c r="C29" s="2">
        <f t="shared" si="4"/>
        <v>14.04494382022472</v>
      </c>
      <c r="D29" s="2">
        <v>12000</v>
      </c>
      <c r="E29" s="2" t="s">
        <v>33</v>
      </c>
      <c r="F29" s="4">
        <v>3117964</v>
      </c>
      <c r="H29" s="2">
        <v>3000</v>
      </c>
      <c r="I29" s="29">
        <v>17.8</v>
      </c>
      <c r="J29" s="8">
        <f t="shared" si="5"/>
        <v>213.6</v>
      </c>
      <c r="K29" s="2" t="s">
        <v>111</v>
      </c>
      <c r="L29" s="21"/>
      <c r="M29" s="14"/>
      <c r="N29" s="26"/>
      <c r="O29" s="24"/>
      <c r="P29" s="16"/>
      <c r="Q29" s="2">
        <f t="shared" si="2"/>
        <v>14.04494382022472</v>
      </c>
    </row>
    <row r="30" spans="1:17" x14ac:dyDescent="0.3">
      <c r="A30" s="2" t="s">
        <v>145</v>
      </c>
      <c r="B30" s="2" t="s">
        <v>184</v>
      </c>
      <c r="C30" s="2">
        <f t="shared" si="4"/>
        <v>14.04494382022472</v>
      </c>
      <c r="D30" s="2">
        <v>12000</v>
      </c>
      <c r="E30" s="2" t="s">
        <v>33</v>
      </c>
      <c r="F30" s="4">
        <v>3117964</v>
      </c>
      <c r="H30" s="2">
        <v>3000</v>
      </c>
      <c r="I30" s="29">
        <v>17.8</v>
      </c>
      <c r="J30" s="8">
        <f t="shared" si="5"/>
        <v>213.6</v>
      </c>
      <c r="K30" s="2" t="s">
        <v>111</v>
      </c>
      <c r="L30" s="21"/>
      <c r="M30" s="14"/>
      <c r="N30" s="26"/>
      <c r="O30" s="24"/>
      <c r="P30" s="16"/>
      <c r="Q30" s="2">
        <f t="shared" si="2"/>
        <v>14.04494382022472</v>
      </c>
    </row>
    <row r="31" spans="1:17" x14ac:dyDescent="0.3">
      <c r="A31" s="2" t="s">
        <v>145</v>
      </c>
      <c r="B31" s="2" t="s">
        <v>184</v>
      </c>
      <c r="C31" s="2">
        <f t="shared" si="4"/>
        <v>14.04494382022472</v>
      </c>
      <c r="D31" s="2">
        <v>12000</v>
      </c>
      <c r="E31" s="2" t="s">
        <v>33</v>
      </c>
      <c r="F31" s="4">
        <v>3117964</v>
      </c>
      <c r="H31" s="2">
        <v>3000</v>
      </c>
      <c r="I31" s="29">
        <v>17.8</v>
      </c>
      <c r="J31" s="8">
        <f t="shared" si="5"/>
        <v>213.6</v>
      </c>
      <c r="K31" s="2" t="s">
        <v>111</v>
      </c>
      <c r="L31" s="21"/>
      <c r="M31" s="14"/>
      <c r="N31" s="26"/>
      <c r="O31" s="24"/>
      <c r="P31" s="16"/>
      <c r="Q31" s="2">
        <f t="shared" si="2"/>
        <v>14.04494382022472</v>
      </c>
    </row>
    <row r="32" spans="1:17" x14ac:dyDescent="0.3">
      <c r="A32" s="2" t="s">
        <v>145</v>
      </c>
      <c r="B32" s="2" t="s">
        <v>184</v>
      </c>
      <c r="C32" s="2">
        <f t="shared" si="4"/>
        <v>14.04494382022472</v>
      </c>
      <c r="D32" s="2">
        <v>12000</v>
      </c>
      <c r="E32" s="2" t="s">
        <v>33</v>
      </c>
      <c r="F32" s="4">
        <v>3117964</v>
      </c>
      <c r="H32" s="2">
        <v>3000</v>
      </c>
      <c r="I32" s="29">
        <v>17.8</v>
      </c>
      <c r="J32" s="8">
        <f t="shared" si="5"/>
        <v>213.6</v>
      </c>
      <c r="K32" s="2" t="s">
        <v>111</v>
      </c>
      <c r="L32" s="21"/>
      <c r="M32" s="14"/>
      <c r="N32" s="26"/>
      <c r="O32" s="24"/>
      <c r="P32" s="16"/>
      <c r="Q32" s="2">
        <f t="shared" si="2"/>
        <v>14.04494382022472</v>
      </c>
    </row>
    <row r="33" spans="1:17" x14ac:dyDescent="0.3">
      <c r="A33" s="2" t="s">
        <v>145</v>
      </c>
      <c r="B33" s="2" t="s">
        <v>184</v>
      </c>
      <c r="C33" s="2">
        <f t="shared" si="4"/>
        <v>14.04494382022472</v>
      </c>
      <c r="D33" s="2">
        <v>12000</v>
      </c>
      <c r="E33" s="2" t="s">
        <v>33</v>
      </c>
      <c r="F33" s="4">
        <v>3117964</v>
      </c>
      <c r="H33" s="2">
        <v>3000</v>
      </c>
      <c r="I33" s="29">
        <v>17.8</v>
      </c>
      <c r="J33" s="8">
        <f t="shared" si="5"/>
        <v>213.6</v>
      </c>
      <c r="K33" s="2" t="s">
        <v>111</v>
      </c>
      <c r="L33" s="21"/>
      <c r="M33" s="14"/>
      <c r="N33" s="26"/>
      <c r="O33" s="24"/>
      <c r="P33" s="16"/>
      <c r="Q33" s="2">
        <f t="shared" si="2"/>
        <v>14.04494382022472</v>
      </c>
    </row>
    <row r="34" spans="1:17" x14ac:dyDescent="0.3">
      <c r="A34" s="2" t="s">
        <v>145</v>
      </c>
      <c r="B34" s="2" t="s">
        <v>184</v>
      </c>
      <c r="C34" s="2">
        <f t="shared" si="4"/>
        <v>14.04494382022472</v>
      </c>
      <c r="D34" s="2">
        <v>12000</v>
      </c>
      <c r="E34" s="2" t="s">
        <v>33</v>
      </c>
      <c r="F34" s="4">
        <v>3117964</v>
      </c>
      <c r="H34" s="2">
        <v>3000</v>
      </c>
      <c r="I34" s="29">
        <v>17.8</v>
      </c>
      <c r="J34" s="8">
        <f t="shared" si="5"/>
        <v>213.6</v>
      </c>
      <c r="K34" s="2" t="s">
        <v>111</v>
      </c>
      <c r="L34" s="21"/>
      <c r="M34" s="14"/>
      <c r="N34" s="26"/>
      <c r="O34" s="24"/>
      <c r="P34" s="16"/>
      <c r="Q34" s="2">
        <f t="shared" si="2"/>
        <v>14.04494382022472</v>
      </c>
    </row>
    <row r="35" spans="1:17" x14ac:dyDescent="0.3">
      <c r="A35" s="2" t="s">
        <v>145</v>
      </c>
      <c r="B35" s="2" t="s">
        <v>184</v>
      </c>
      <c r="C35" s="2">
        <f t="shared" si="4"/>
        <v>14.04494382022472</v>
      </c>
      <c r="D35" s="2">
        <v>12000</v>
      </c>
      <c r="E35" s="2" t="s">
        <v>33</v>
      </c>
      <c r="F35" s="4">
        <v>3117964</v>
      </c>
      <c r="H35" s="2">
        <v>3000</v>
      </c>
      <c r="I35" s="29">
        <v>17.8</v>
      </c>
      <c r="J35" s="8">
        <f t="shared" si="5"/>
        <v>213.6</v>
      </c>
      <c r="K35" s="2" t="s">
        <v>111</v>
      </c>
      <c r="L35" s="21"/>
      <c r="M35" s="14"/>
      <c r="N35" s="26"/>
      <c r="O35" s="24"/>
      <c r="P35" s="16"/>
      <c r="Q35" s="2">
        <f t="shared" si="2"/>
        <v>14.04494382022472</v>
      </c>
    </row>
    <row r="36" spans="1:17" x14ac:dyDescent="0.3">
      <c r="A36" s="2" t="s">
        <v>145</v>
      </c>
      <c r="B36" s="2" t="s">
        <v>185</v>
      </c>
      <c r="C36" s="2">
        <v>16</v>
      </c>
      <c r="D36" s="2">
        <v>5500</v>
      </c>
      <c r="E36" s="2" t="s">
        <v>12</v>
      </c>
      <c r="F36" s="4" t="s">
        <v>116</v>
      </c>
      <c r="H36" s="2">
        <f t="shared" ref="H36:H46" si="6">+J36*C36</f>
        <v>1073.5999999999999</v>
      </c>
      <c r="I36" s="29">
        <v>12.2</v>
      </c>
      <c r="J36" s="8">
        <f t="shared" si="5"/>
        <v>67.099999999999994</v>
      </c>
      <c r="K36" s="2" t="s">
        <v>111</v>
      </c>
      <c r="L36" s="21"/>
      <c r="M36" s="14"/>
      <c r="N36" s="26"/>
      <c r="O36" s="24"/>
      <c r="P36" s="16"/>
      <c r="Q36" s="2">
        <f t="shared" si="2"/>
        <v>16</v>
      </c>
    </row>
    <row r="37" spans="1:17" x14ac:dyDescent="0.3">
      <c r="A37" s="2" t="s">
        <v>145</v>
      </c>
      <c r="B37" s="2" t="s">
        <v>185</v>
      </c>
      <c r="C37" s="2">
        <v>17</v>
      </c>
      <c r="D37" s="2">
        <v>12000</v>
      </c>
      <c r="E37" s="2" t="s">
        <v>12</v>
      </c>
      <c r="F37" s="4" t="s">
        <v>119</v>
      </c>
      <c r="H37" s="2">
        <f t="shared" si="6"/>
        <v>2488.8000000000002</v>
      </c>
      <c r="I37" s="29">
        <v>12.2</v>
      </c>
      <c r="J37" s="8">
        <f t="shared" si="5"/>
        <v>146.4</v>
      </c>
      <c r="K37" s="2" t="s">
        <v>117</v>
      </c>
      <c r="L37" s="21"/>
      <c r="M37" s="14"/>
      <c r="N37" s="26"/>
      <c r="O37" s="24"/>
      <c r="P37" s="16"/>
      <c r="Q37" s="2">
        <f t="shared" si="2"/>
        <v>17</v>
      </c>
    </row>
    <row r="38" spans="1:17" x14ac:dyDescent="0.3">
      <c r="A38" s="2" t="s">
        <v>145</v>
      </c>
      <c r="B38" s="2" t="s">
        <v>185</v>
      </c>
      <c r="C38" s="2">
        <v>8</v>
      </c>
      <c r="D38" s="2">
        <v>12000</v>
      </c>
      <c r="E38" s="2" t="s">
        <v>12</v>
      </c>
      <c r="F38" s="4" t="s">
        <v>120</v>
      </c>
      <c r="H38" s="2">
        <f t="shared" si="6"/>
        <v>1171.2</v>
      </c>
      <c r="I38" s="29">
        <v>12.2</v>
      </c>
      <c r="J38" s="8">
        <f t="shared" si="5"/>
        <v>146.4</v>
      </c>
      <c r="K38" s="2" t="s">
        <v>117</v>
      </c>
      <c r="L38" s="21"/>
      <c r="M38" s="14"/>
      <c r="N38" s="26"/>
      <c r="O38" s="24"/>
      <c r="P38" s="16"/>
      <c r="Q38" s="2">
        <f t="shared" si="2"/>
        <v>8</v>
      </c>
    </row>
    <row r="39" spans="1:17" x14ac:dyDescent="0.3">
      <c r="A39" s="2" t="s">
        <v>145</v>
      </c>
      <c r="B39" s="2" t="s">
        <v>186</v>
      </c>
      <c r="C39" s="2">
        <v>5</v>
      </c>
      <c r="D39" s="2">
        <v>12000</v>
      </c>
      <c r="E39" s="2" t="s">
        <v>33</v>
      </c>
      <c r="F39" s="4" t="s">
        <v>114</v>
      </c>
      <c r="H39" s="2">
        <f t="shared" si="6"/>
        <v>1092</v>
      </c>
      <c r="I39" s="29">
        <v>18.2</v>
      </c>
      <c r="J39" s="8">
        <f t="shared" si="5"/>
        <v>218.4</v>
      </c>
      <c r="K39" s="2" t="s">
        <v>111</v>
      </c>
      <c r="L39" s="21"/>
      <c r="M39" s="14"/>
      <c r="N39" s="26"/>
      <c r="O39" s="24"/>
      <c r="P39" s="16"/>
      <c r="Q39" s="2">
        <f t="shared" si="2"/>
        <v>5</v>
      </c>
    </row>
    <row r="40" spans="1:17" x14ac:dyDescent="0.3">
      <c r="A40" s="2" t="s">
        <v>145</v>
      </c>
      <c r="B40" s="2" t="s">
        <v>187</v>
      </c>
      <c r="C40" s="2">
        <v>3</v>
      </c>
      <c r="D40" s="2">
        <v>12000</v>
      </c>
      <c r="H40" s="2">
        <f t="shared" si="6"/>
        <v>777.60000000000014</v>
      </c>
      <c r="I40" s="29">
        <v>21.6</v>
      </c>
      <c r="J40" s="8">
        <f t="shared" si="5"/>
        <v>259.20000000000005</v>
      </c>
      <c r="K40" s="2" t="s">
        <v>111</v>
      </c>
      <c r="L40" s="21"/>
      <c r="M40" s="14"/>
      <c r="N40" s="26"/>
      <c r="O40" s="24"/>
      <c r="P40" s="16"/>
      <c r="Q40" s="2">
        <f t="shared" si="2"/>
        <v>3</v>
      </c>
    </row>
    <row r="41" spans="1:17" x14ac:dyDescent="0.3">
      <c r="A41" s="2" t="s">
        <v>145</v>
      </c>
      <c r="B41" s="2" t="s">
        <v>187</v>
      </c>
      <c r="C41" s="2">
        <v>9</v>
      </c>
      <c r="D41" s="2">
        <v>12000</v>
      </c>
      <c r="E41" s="2" t="s">
        <v>12</v>
      </c>
      <c r="F41" s="4" t="s">
        <v>126</v>
      </c>
      <c r="H41" s="2">
        <f t="shared" si="6"/>
        <v>2332.8000000000002</v>
      </c>
      <c r="I41" s="29">
        <v>21.6</v>
      </c>
      <c r="J41" s="8">
        <f t="shared" si="5"/>
        <v>259.20000000000005</v>
      </c>
      <c r="K41" s="2" t="s">
        <v>117</v>
      </c>
      <c r="L41" s="21"/>
      <c r="M41" s="14"/>
      <c r="N41" s="26"/>
      <c r="O41" s="24"/>
      <c r="P41" s="16"/>
      <c r="Q41" s="2">
        <f t="shared" si="2"/>
        <v>9</v>
      </c>
    </row>
    <row r="42" spans="1:17" x14ac:dyDescent="0.3">
      <c r="A42" s="2" t="s">
        <v>145</v>
      </c>
      <c r="B42" s="2" t="s">
        <v>187</v>
      </c>
      <c r="C42" s="2">
        <v>9</v>
      </c>
      <c r="D42" s="2">
        <v>12000</v>
      </c>
      <c r="E42" s="2" t="s">
        <v>12</v>
      </c>
      <c r="F42" s="4" t="s">
        <v>125</v>
      </c>
      <c r="H42" s="2">
        <f t="shared" si="6"/>
        <v>2332.8000000000002</v>
      </c>
      <c r="I42" s="29">
        <v>21.6</v>
      </c>
      <c r="J42" s="8">
        <f t="shared" si="5"/>
        <v>259.20000000000005</v>
      </c>
      <c r="K42" s="2" t="s">
        <v>117</v>
      </c>
      <c r="L42" s="21"/>
      <c r="M42" s="14"/>
      <c r="N42" s="26"/>
      <c r="O42" s="24"/>
      <c r="P42" s="16"/>
      <c r="Q42" s="2">
        <f t="shared" si="2"/>
        <v>9</v>
      </c>
    </row>
    <row r="43" spans="1:17" x14ac:dyDescent="0.3">
      <c r="A43" s="2" t="s">
        <v>145</v>
      </c>
      <c r="B43" s="2" t="s">
        <v>188</v>
      </c>
      <c r="C43" s="2">
        <v>8</v>
      </c>
      <c r="D43" s="2">
        <v>12000</v>
      </c>
      <c r="E43" s="2" t="s">
        <v>33</v>
      </c>
      <c r="F43" s="4" t="s">
        <v>123</v>
      </c>
      <c r="H43" s="2">
        <f t="shared" si="6"/>
        <v>2553.6</v>
      </c>
      <c r="I43" s="29">
        <v>26.6</v>
      </c>
      <c r="J43" s="8">
        <f t="shared" si="5"/>
        <v>319.2</v>
      </c>
      <c r="K43" s="2" t="s">
        <v>117</v>
      </c>
      <c r="L43" s="21"/>
      <c r="M43" s="14"/>
      <c r="N43" s="26"/>
      <c r="O43" s="24"/>
      <c r="P43" s="16"/>
      <c r="Q43" s="2">
        <f t="shared" si="2"/>
        <v>8</v>
      </c>
    </row>
    <row r="44" spans="1:17" x14ac:dyDescent="0.3">
      <c r="A44" s="2" t="s">
        <v>145</v>
      </c>
      <c r="B44" s="2" t="s">
        <v>188</v>
      </c>
      <c r="C44" s="2">
        <v>2</v>
      </c>
      <c r="D44" s="2">
        <v>12000</v>
      </c>
      <c r="E44" s="2" t="s">
        <v>33</v>
      </c>
      <c r="H44" s="2">
        <f t="shared" si="6"/>
        <v>638.4</v>
      </c>
      <c r="I44" s="29">
        <v>26.6</v>
      </c>
      <c r="J44" s="8">
        <f t="shared" si="5"/>
        <v>319.2</v>
      </c>
      <c r="K44" s="2" t="s">
        <v>117</v>
      </c>
      <c r="L44" s="21"/>
      <c r="M44" s="14"/>
      <c r="N44" s="26"/>
      <c r="O44" s="24"/>
      <c r="P44" s="16"/>
      <c r="Q44" s="2">
        <f t="shared" si="2"/>
        <v>2</v>
      </c>
    </row>
    <row r="45" spans="1:17" x14ac:dyDescent="0.3">
      <c r="A45" s="2" t="s">
        <v>145</v>
      </c>
      <c r="B45" s="2" t="s">
        <v>189</v>
      </c>
      <c r="C45" s="2">
        <v>2</v>
      </c>
      <c r="D45" s="2">
        <v>12000</v>
      </c>
      <c r="E45" s="2" t="s">
        <v>33</v>
      </c>
      <c r="H45" s="2">
        <f t="shared" si="6"/>
        <v>638.4</v>
      </c>
      <c r="I45" s="29">
        <v>26.6</v>
      </c>
      <c r="J45" s="8">
        <f t="shared" si="5"/>
        <v>319.2</v>
      </c>
      <c r="K45" s="2" t="s">
        <v>111</v>
      </c>
      <c r="L45" s="21"/>
      <c r="M45" s="14"/>
      <c r="N45" s="26"/>
      <c r="O45" s="24"/>
      <c r="P45" s="16"/>
      <c r="Q45" s="2">
        <f t="shared" si="2"/>
        <v>2</v>
      </c>
    </row>
    <row r="46" spans="1:17" x14ac:dyDescent="0.3">
      <c r="A46" s="2" t="s">
        <v>145</v>
      </c>
      <c r="B46" s="2" t="s">
        <v>190</v>
      </c>
      <c r="C46" s="2">
        <v>14</v>
      </c>
      <c r="D46" s="2">
        <v>6000</v>
      </c>
      <c r="E46" s="2" t="s">
        <v>12</v>
      </c>
      <c r="H46" s="2">
        <f t="shared" si="6"/>
        <v>203.28</v>
      </c>
      <c r="I46" s="29">
        <v>2.42</v>
      </c>
      <c r="J46" s="8">
        <f t="shared" si="5"/>
        <v>14.52</v>
      </c>
      <c r="K46" s="2" t="s">
        <v>111</v>
      </c>
      <c r="L46" s="21"/>
      <c r="M46" s="14"/>
      <c r="N46" s="26"/>
      <c r="O46" s="24"/>
      <c r="P46" s="16"/>
      <c r="Q46" s="2">
        <f t="shared" si="2"/>
        <v>14</v>
      </c>
    </row>
    <row r="47" spans="1:17" x14ac:dyDescent="0.3">
      <c r="A47" s="2" t="s">
        <v>145</v>
      </c>
      <c r="B47" s="2" t="s">
        <v>191</v>
      </c>
      <c r="C47" s="2">
        <f>+H47/J47</f>
        <v>44.310722100656456</v>
      </c>
      <c r="D47" s="2">
        <v>12000</v>
      </c>
      <c r="E47" s="2" t="s">
        <v>12</v>
      </c>
      <c r="F47" s="4" t="s">
        <v>124</v>
      </c>
      <c r="H47" s="2">
        <v>2430</v>
      </c>
      <c r="I47" s="29">
        <v>4.57</v>
      </c>
      <c r="J47" s="8">
        <f t="shared" ref="J47:J110" si="7">+I47*D47/1000</f>
        <v>54.84</v>
      </c>
      <c r="K47" s="2" t="s">
        <v>117</v>
      </c>
      <c r="L47" s="21"/>
      <c r="M47" s="14"/>
      <c r="N47" s="26"/>
      <c r="O47" s="24"/>
      <c r="P47" s="16"/>
      <c r="Q47" s="2">
        <f t="shared" si="2"/>
        <v>44.310722100656456</v>
      </c>
    </row>
    <row r="48" spans="1:17" x14ac:dyDescent="0.3">
      <c r="A48" s="2" t="s">
        <v>145</v>
      </c>
      <c r="B48" s="2" t="s">
        <v>192</v>
      </c>
      <c r="C48" s="2">
        <v>5</v>
      </c>
      <c r="D48" s="2">
        <v>12000</v>
      </c>
      <c r="E48" s="2" t="s">
        <v>12</v>
      </c>
      <c r="H48" s="2">
        <f t="shared" ref="H48:H65" si="8">+J48*C48</f>
        <v>325.20000000000005</v>
      </c>
      <c r="I48" s="29">
        <v>5.42</v>
      </c>
      <c r="J48" s="8">
        <f t="shared" si="7"/>
        <v>65.040000000000006</v>
      </c>
      <c r="K48" s="2" t="s">
        <v>111</v>
      </c>
      <c r="L48" s="21"/>
      <c r="M48" s="14"/>
      <c r="N48" s="26"/>
      <c r="O48" s="24"/>
      <c r="P48" s="16"/>
      <c r="Q48" s="2">
        <f t="shared" si="2"/>
        <v>5</v>
      </c>
    </row>
    <row r="49" spans="1:17" x14ac:dyDescent="0.3">
      <c r="A49" s="2" t="s">
        <v>145</v>
      </c>
      <c r="B49" s="2" t="s">
        <v>192</v>
      </c>
      <c r="C49" s="2">
        <v>5</v>
      </c>
      <c r="D49" s="2">
        <v>12000</v>
      </c>
      <c r="E49" s="2" t="s">
        <v>12</v>
      </c>
      <c r="H49" s="2">
        <f t="shared" si="8"/>
        <v>325.20000000000005</v>
      </c>
      <c r="I49" s="29">
        <v>5.42</v>
      </c>
      <c r="J49" s="8">
        <f t="shared" si="7"/>
        <v>65.040000000000006</v>
      </c>
      <c r="K49" s="2" t="s">
        <v>111</v>
      </c>
      <c r="L49" s="21"/>
      <c r="M49" s="14"/>
      <c r="N49" s="26"/>
      <c r="O49" s="24"/>
      <c r="P49" s="16"/>
      <c r="Q49" s="2">
        <f t="shared" si="2"/>
        <v>5</v>
      </c>
    </row>
    <row r="50" spans="1:17" x14ac:dyDescent="0.3">
      <c r="A50" s="2" t="s">
        <v>145</v>
      </c>
      <c r="B50" s="2" t="s">
        <v>192</v>
      </c>
      <c r="C50" s="2">
        <v>63</v>
      </c>
      <c r="D50" s="2">
        <v>12000</v>
      </c>
      <c r="E50" s="2" t="s">
        <v>33</v>
      </c>
      <c r="F50" s="4">
        <v>171372</v>
      </c>
      <c r="H50" s="2">
        <f t="shared" si="8"/>
        <v>4097.5200000000004</v>
      </c>
      <c r="I50" s="29">
        <v>5.42</v>
      </c>
      <c r="J50" s="8">
        <f t="shared" si="7"/>
        <v>65.040000000000006</v>
      </c>
      <c r="K50" s="2" t="s">
        <v>117</v>
      </c>
      <c r="L50" s="21"/>
      <c r="M50" s="14"/>
      <c r="N50" s="26"/>
      <c r="O50" s="24"/>
      <c r="P50" s="16"/>
      <c r="Q50" s="2">
        <f t="shared" si="2"/>
        <v>63</v>
      </c>
    </row>
    <row r="51" spans="1:17" x14ac:dyDescent="0.3">
      <c r="A51" s="2" t="s">
        <v>145</v>
      </c>
      <c r="B51" s="2" t="s">
        <v>193</v>
      </c>
      <c r="C51" s="2">
        <v>20</v>
      </c>
      <c r="D51" s="2">
        <v>12000</v>
      </c>
      <c r="E51" s="2" t="s">
        <v>12</v>
      </c>
      <c r="G51" s="2" t="s">
        <v>179</v>
      </c>
      <c r="H51" s="2">
        <f t="shared" si="8"/>
        <v>1531.2</v>
      </c>
      <c r="I51" s="29">
        <v>6.38</v>
      </c>
      <c r="J51" s="8">
        <f t="shared" si="7"/>
        <v>76.56</v>
      </c>
      <c r="K51" s="2" t="s">
        <v>117</v>
      </c>
      <c r="L51" s="21"/>
      <c r="M51" s="14"/>
      <c r="N51" s="26"/>
      <c r="O51" s="24"/>
      <c r="P51" s="16"/>
      <c r="Q51" s="2">
        <f t="shared" si="2"/>
        <v>20</v>
      </c>
    </row>
    <row r="52" spans="1:17" x14ac:dyDescent="0.3">
      <c r="A52" s="2" t="s">
        <v>145</v>
      </c>
      <c r="B52" s="2" t="s">
        <v>194</v>
      </c>
      <c r="C52" s="2">
        <v>10</v>
      </c>
      <c r="D52" s="2">
        <v>12000</v>
      </c>
      <c r="E52" s="2" t="s">
        <v>33</v>
      </c>
      <c r="G52" s="2" t="s">
        <v>179</v>
      </c>
      <c r="H52" s="2">
        <f t="shared" si="8"/>
        <v>885.6</v>
      </c>
      <c r="I52" s="29">
        <v>7.38</v>
      </c>
      <c r="J52" s="8">
        <f t="shared" si="7"/>
        <v>88.56</v>
      </c>
      <c r="K52" s="2" t="s">
        <v>117</v>
      </c>
      <c r="L52" s="21"/>
      <c r="M52" s="14"/>
      <c r="N52" s="26"/>
      <c r="O52" s="24"/>
      <c r="P52" s="16"/>
      <c r="Q52" s="2">
        <f t="shared" si="2"/>
        <v>10</v>
      </c>
    </row>
    <row r="53" spans="1:17" x14ac:dyDescent="0.3">
      <c r="A53" s="2" t="s">
        <v>145</v>
      </c>
      <c r="B53" s="2" t="s">
        <v>194</v>
      </c>
      <c r="C53" s="2">
        <v>16</v>
      </c>
      <c r="D53" s="2">
        <v>12000</v>
      </c>
      <c r="E53" s="2" t="s">
        <v>33</v>
      </c>
      <c r="G53" s="2" t="s">
        <v>179</v>
      </c>
      <c r="H53" s="2">
        <f t="shared" si="8"/>
        <v>1416.96</v>
      </c>
      <c r="I53" s="29">
        <v>7.38</v>
      </c>
      <c r="J53" s="8">
        <f t="shared" si="7"/>
        <v>88.56</v>
      </c>
      <c r="K53" s="2" t="s">
        <v>117</v>
      </c>
      <c r="L53" s="21"/>
      <c r="M53" s="14"/>
      <c r="N53" s="26"/>
      <c r="O53" s="24"/>
      <c r="P53" s="16"/>
      <c r="Q53" s="2">
        <f t="shared" si="2"/>
        <v>16</v>
      </c>
    </row>
    <row r="54" spans="1:17" x14ac:dyDescent="0.3">
      <c r="A54" s="2" t="s">
        <v>145</v>
      </c>
      <c r="B54" s="2" t="s">
        <v>195</v>
      </c>
      <c r="C54" s="2">
        <v>28</v>
      </c>
      <c r="D54" s="2">
        <v>12000</v>
      </c>
      <c r="E54" s="2" t="s">
        <v>33</v>
      </c>
      <c r="F54" s="4">
        <v>74290</v>
      </c>
      <c r="H54" s="2">
        <f t="shared" si="8"/>
        <v>3998.4000000000005</v>
      </c>
      <c r="I54" s="29">
        <v>11.9</v>
      </c>
      <c r="J54" s="8">
        <f t="shared" si="7"/>
        <v>142.80000000000001</v>
      </c>
      <c r="K54" s="2" t="s">
        <v>117</v>
      </c>
      <c r="L54" s="21"/>
      <c r="M54" s="14"/>
      <c r="N54" s="26"/>
      <c r="O54" s="24"/>
      <c r="P54" s="16"/>
      <c r="Q54" s="2">
        <f t="shared" si="2"/>
        <v>28</v>
      </c>
    </row>
    <row r="55" spans="1:17" x14ac:dyDescent="0.3">
      <c r="A55" s="2" t="s">
        <v>145</v>
      </c>
      <c r="B55" s="2" t="s">
        <v>195</v>
      </c>
      <c r="C55" s="2">
        <v>28</v>
      </c>
      <c r="D55" s="2">
        <v>12000</v>
      </c>
      <c r="E55" s="2" t="s">
        <v>33</v>
      </c>
      <c r="F55" s="4">
        <v>74290</v>
      </c>
      <c r="H55" s="2">
        <f t="shared" si="8"/>
        <v>3998.4000000000005</v>
      </c>
      <c r="I55" s="29">
        <v>11.9</v>
      </c>
      <c r="J55" s="8">
        <f t="shared" si="7"/>
        <v>142.80000000000001</v>
      </c>
      <c r="K55" s="2" t="s">
        <v>117</v>
      </c>
      <c r="L55" s="21"/>
      <c r="M55" s="14"/>
      <c r="N55" s="26"/>
      <c r="O55" s="24"/>
      <c r="P55" s="16"/>
      <c r="Q55" s="2">
        <f t="shared" si="2"/>
        <v>28</v>
      </c>
    </row>
    <row r="56" spans="1:17" x14ac:dyDescent="0.3">
      <c r="A56" s="2" t="s">
        <v>145</v>
      </c>
      <c r="B56" s="2" t="s">
        <v>195</v>
      </c>
      <c r="C56" s="2">
        <v>28</v>
      </c>
      <c r="D56" s="2">
        <v>12000</v>
      </c>
      <c r="E56" s="2" t="s">
        <v>33</v>
      </c>
      <c r="F56" s="4">
        <v>74290</v>
      </c>
      <c r="H56" s="2">
        <f t="shared" si="8"/>
        <v>3998.4000000000005</v>
      </c>
      <c r="I56" s="29">
        <v>11.9</v>
      </c>
      <c r="J56" s="8">
        <f t="shared" si="7"/>
        <v>142.80000000000001</v>
      </c>
      <c r="K56" s="2" t="s">
        <v>117</v>
      </c>
      <c r="L56" s="21"/>
      <c r="M56" s="14"/>
      <c r="N56" s="26"/>
      <c r="O56" s="24"/>
      <c r="P56" s="16"/>
      <c r="Q56" s="2">
        <f t="shared" si="2"/>
        <v>28</v>
      </c>
    </row>
    <row r="57" spans="1:17" x14ac:dyDescent="0.3">
      <c r="A57" s="2" t="s">
        <v>145</v>
      </c>
      <c r="B57" s="2" t="s">
        <v>195</v>
      </c>
      <c r="C57" s="2">
        <v>28</v>
      </c>
      <c r="D57" s="2">
        <v>12000</v>
      </c>
      <c r="E57" s="2" t="s">
        <v>33</v>
      </c>
      <c r="F57" s="4">
        <v>74290</v>
      </c>
      <c r="H57" s="2">
        <f t="shared" si="8"/>
        <v>3998.4000000000005</v>
      </c>
      <c r="I57" s="29">
        <v>11.9</v>
      </c>
      <c r="J57" s="8">
        <f t="shared" si="7"/>
        <v>142.80000000000001</v>
      </c>
      <c r="K57" s="2" t="s">
        <v>117</v>
      </c>
      <c r="L57" s="21"/>
      <c r="M57" s="14"/>
      <c r="N57" s="26"/>
      <c r="O57" s="24"/>
      <c r="P57" s="16"/>
      <c r="Q57" s="2">
        <f t="shared" si="2"/>
        <v>28</v>
      </c>
    </row>
    <row r="58" spans="1:17" x14ac:dyDescent="0.3">
      <c r="A58" s="2" t="s">
        <v>145</v>
      </c>
      <c r="B58" s="2" t="s">
        <v>195</v>
      </c>
      <c r="C58" s="2">
        <v>28</v>
      </c>
      <c r="D58" s="2">
        <v>12000</v>
      </c>
      <c r="E58" s="2" t="s">
        <v>33</v>
      </c>
      <c r="F58" s="4">
        <v>74290</v>
      </c>
      <c r="H58" s="2">
        <f t="shared" si="8"/>
        <v>3998.4000000000005</v>
      </c>
      <c r="I58" s="29">
        <v>11.9</v>
      </c>
      <c r="J58" s="8">
        <f t="shared" si="7"/>
        <v>142.80000000000001</v>
      </c>
      <c r="K58" s="2" t="s">
        <v>117</v>
      </c>
      <c r="L58" s="21"/>
      <c r="M58" s="14"/>
      <c r="N58" s="26"/>
      <c r="O58" s="24"/>
      <c r="P58" s="16"/>
      <c r="Q58" s="2">
        <f t="shared" si="2"/>
        <v>28</v>
      </c>
    </row>
    <row r="59" spans="1:17" x14ac:dyDescent="0.3">
      <c r="A59" s="2" t="s">
        <v>145</v>
      </c>
      <c r="B59" s="2" t="s">
        <v>195</v>
      </c>
      <c r="C59" s="2">
        <v>28</v>
      </c>
      <c r="D59" s="2">
        <v>12000</v>
      </c>
      <c r="E59" s="2" t="s">
        <v>33</v>
      </c>
      <c r="F59" s="4">
        <v>74290</v>
      </c>
      <c r="H59" s="2">
        <f t="shared" si="8"/>
        <v>3998.4000000000005</v>
      </c>
      <c r="I59" s="29">
        <v>11.9</v>
      </c>
      <c r="J59" s="8">
        <f t="shared" si="7"/>
        <v>142.80000000000001</v>
      </c>
      <c r="K59" s="2" t="s">
        <v>117</v>
      </c>
      <c r="L59" s="21"/>
      <c r="M59" s="14"/>
      <c r="N59" s="26"/>
      <c r="O59" s="24"/>
      <c r="P59" s="16"/>
      <c r="Q59" s="2">
        <f t="shared" si="2"/>
        <v>28</v>
      </c>
    </row>
    <row r="60" spans="1:17" x14ac:dyDescent="0.3">
      <c r="A60" s="2" t="s">
        <v>145</v>
      </c>
      <c r="B60" s="2" t="s">
        <v>196</v>
      </c>
      <c r="C60" s="2">
        <v>10</v>
      </c>
      <c r="D60" s="2">
        <v>12000</v>
      </c>
      <c r="E60" s="2" t="s">
        <v>12</v>
      </c>
      <c r="F60" s="4" t="s">
        <v>112</v>
      </c>
      <c r="H60" s="2">
        <f t="shared" si="8"/>
        <v>1159.2</v>
      </c>
      <c r="I60" s="29">
        <v>9.66</v>
      </c>
      <c r="J60" s="8">
        <f t="shared" si="7"/>
        <v>115.92</v>
      </c>
      <c r="K60" s="2" t="s">
        <v>111</v>
      </c>
      <c r="L60" s="21"/>
      <c r="M60" s="14"/>
      <c r="N60" s="26"/>
      <c r="O60" s="24"/>
      <c r="P60" s="16"/>
      <c r="Q60" s="2">
        <f t="shared" si="2"/>
        <v>10</v>
      </c>
    </row>
    <row r="61" spans="1:17" x14ac:dyDescent="0.3">
      <c r="A61" s="2" t="s">
        <v>145</v>
      </c>
      <c r="B61" s="2" t="s">
        <v>196</v>
      </c>
      <c r="C61" s="2">
        <v>12</v>
      </c>
      <c r="D61" s="2">
        <v>12000</v>
      </c>
      <c r="H61" s="2">
        <f t="shared" si="8"/>
        <v>1391.04</v>
      </c>
      <c r="I61" s="29">
        <v>9.66</v>
      </c>
      <c r="J61" s="8">
        <f t="shared" si="7"/>
        <v>115.92</v>
      </c>
      <c r="K61" s="2" t="s">
        <v>111</v>
      </c>
      <c r="L61" s="21"/>
      <c r="M61" s="14"/>
      <c r="N61" s="26"/>
      <c r="O61" s="24"/>
      <c r="P61" s="16"/>
      <c r="Q61" s="2">
        <f t="shared" si="2"/>
        <v>12</v>
      </c>
    </row>
    <row r="62" spans="1:17" x14ac:dyDescent="0.3">
      <c r="A62" s="2" t="s">
        <v>145</v>
      </c>
      <c r="B62" s="2" t="s">
        <v>196</v>
      </c>
      <c r="C62" s="2">
        <v>10</v>
      </c>
      <c r="D62" s="2">
        <v>12000</v>
      </c>
      <c r="E62" s="2" t="s">
        <v>33</v>
      </c>
      <c r="G62" s="2" t="s">
        <v>179</v>
      </c>
      <c r="H62" s="2">
        <f t="shared" si="8"/>
        <v>1159.2</v>
      </c>
      <c r="I62" s="29">
        <v>9.66</v>
      </c>
      <c r="J62" s="8">
        <f t="shared" si="7"/>
        <v>115.92</v>
      </c>
      <c r="K62" s="2" t="s">
        <v>117</v>
      </c>
      <c r="L62" s="21"/>
      <c r="M62" s="14"/>
      <c r="N62" s="26"/>
      <c r="O62" s="24"/>
      <c r="P62" s="16"/>
      <c r="Q62" s="2">
        <f t="shared" si="2"/>
        <v>10</v>
      </c>
    </row>
    <row r="63" spans="1:17" x14ac:dyDescent="0.3">
      <c r="A63" s="2" t="s">
        <v>145</v>
      </c>
      <c r="B63" s="2" t="s">
        <v>196</v>
      </c>
      <c r="C63" s="2">
        <v>8</v>
      </c>
      <c r="D63" s="2">
        <v>6000</v>
      </c>
      <c r="E63" s="2" t="s">
        <v>12</v>
      </c>
      <c r="H63" s="2">
        <f t="shared" si="8"/>
        <v>463.68</v>
      </c>
      <c r="I63" s="29">
        <v>9.66</v>
      </c>
      <c r="J63" s="8">
        <f t="shared" si="7"/>
        <v>57.96</v>
      </c>
      <c r="K63" s="2" t="s">
        <v>117</v>
      </c>
      <c r="L63" s="21"/>
      <c r="M63" s="14"/>
      <c r="N63" s="26"/>
      <c r="O63" s="24"/>
      <c r="P63" s="16"/>
      <c r="Q63" s="2">
        <f t="shared" si="2"/>
        <v>8</v>
      </c>
    </row>
    <row r="64" spans="1:17" x14ac:dyDescent="0.3">
      <c r="A64" s="2" t="s">
        <v>145</v>
      </c>
      <c r="B64" s="2" t="s">
        <v>196</v>
      </c>
      <c r="C64" s="2">
        <v>23</v>
      </c>
      <c r="D64" s="2">
        <v>12000</v>
      </c>
      <c r="E64" s="2" t="s">
        <v>12</v>
      </c>
      <c r="F64" s="4" t="s">
        <v>121</v>
      </c>
      <c r="H64" s="2">
        <f t="shared" si="8"/>
        <v>2666.16</v>
      </c>
      <c r="I64" s="29">
        <v>9.66</v>
      </c>
      <c r="J64" s="8">
        <f t="shared" si="7"/>
        <v>115.92</v>
      </c>
      <c r="K64" s="2" t="s">
        <v>117</v>
      </c>
      <c r="L64" s="21"/>
      <c r="M64" s="14"/>
      <c r="N64" s="26"/>
      <c r="O64" s="24"/>
      <c r="P64" s="16"/>
      <c r="Q64" s="2">
        <f t="shared" si="2"/>
        <v>23</v>
      </c>
    </row>
    <row r="65" spans="1:17" x14ac:dyDescent="0.3">
      <c r="A65" s="2" t="s">
        <v>145</v>
      </c>
      <c r="B65" s="2" t="s">
        <v>196</v>
      </c>
      <c r="C65" s="2">
        <v>23</v>
      </c>
      <c r="D65" s="2">
        <v>12000</v>
      </c>
      <c r="E65" s="2" t="s">
        <v>12</v>
      </c>
      <c r="F65" s="4" t="s">
        <v>122</v>
      </c>
      <c r="H65" s="2">
        <f t="shared" si="8"/>
        <v>2666.16</v>
      </c>
      <c r="I65" s="29">
        <v>9.66</v>
      </c>
      <c r="J65" s="8">
        <f t="shared" si="7"/>
        <v>115.92</v>
      </c>
      <c r="K65" s="2" t="s">
        <v>117</v>
      </c>
      <c r="L65" s="21"/>
      <c r="M65" s="14"/>
      <c r="N65" s="26"/>
      <c r="O65" s="24"/>
      <c r="P65" s="16"/>
      <c r="Q65" s="2">
        <f t="shared" si="2"/>
        <v>23</v>
      </c>
    </row>
    <row r="66" spans="1:17" x14ac:dyDescent="0.3">
      <c r="A66" s="2" t="s">
        <v>145</v>
      </c>
      <c r="B66" s="2" t="s">
        <v>196</v>
      </c>
      <c r="C66" s="2">
        <f>+H66/J66</f>
        <v>22.77432712215321</v>
      </c>
      <c r="D66" s="2">
        <v>12000</v>
      </c>
      <c r="E66" s="2" t="s">
        <v>12</v>
      </c>
      <c r="F66" s="4" t="s">
        <v>127</v>
      </c>
      <c r="H66" s="2">
        <v>2640</v>
      </c>
      <c r="I66" s="29">
        <v>9.66</v>
      </c>
      <c r="J66" s="8">
        <f t="shared" si="7"/>
        <v>115.92</v>
      </c>
      <c r="K66" s="2" t="s">
        <v>117</v>
      </c>
      <c r="L66" s="21"/>
      <c r="M66" s="14"/>
      <c r="N66" s="26"/>
      <c r="O66" s="24"/>
      <c r="P66" s="16"/>
      <c r="Q66" s="2">
        <f t="shared" si="2"/>
        <v>22.77432712215321</v>
      </c>
    </row>
    <row r="67" spans="1:17" x14ac:dyDescent="0.3">
      <c r="A67" s="2" t="s">
        <v>145</v>
      </c>
      <c r="B67" s="2" t="s">
        <v>197</v>
      </c>
      <c r="C67" s="2">
        <v>9</v>
      </c>
      <c r="D67" s="2">
        <v>12000</v>
      </c>
      <c r="E67" s="2" t="s">
        <v>33</v>
      </c>
      <c r="F67" s="4" t="s">
        <v>113</v>
      </c>
      <c r="H67" s="2">
        <f t="shared" ref="H67:H130" si="9">+J67*C67</f>
        <v>1317.6000000000001</v>
      </c>
      <c r="I67" s="29">
        <v>12.2</v>
      </c>
      <c r="J67" s="8">
        <f t="shared" si="7"/>
        <v>146.4</v>
      </c>
      <c r="K67" s="2" t="s">
        <v>111</v>
      </c>
      <c r="L67" s="21"/>
      <c r="M67" s="14"/>
      <c r="N67" s="26"/>
      <c r="O67" s="24"/>
      <c r="P67" s="16"/>
      <c r="Q67" s="2">
        <f t="shared" si="2"/>
        <v>9</v>
      </c>
    </row>
    <row r="68" spans="1:17" x14ac:dyDescent="0.3">
      <c r="A68" s="2" t="s">
        <v>146</v>
      </c>
      <c r="B68" s="2" t="s">
        <v>82</v>
      </c>
      <c r="C68" s="2">
        <v>4</v>
      </c>
      <c r="D68" s="2">
        <v>12100</v>
      </c>
      <c r="H68" s="2">
        <f t="shared" si="9"/>
        <v>808.28</v>
      </c>
      <c r="I68" s="29">
        <v>16.7</v>
      </c>
      <c r="J68" s="8">
        <f t="shared" si="7"/>
        <v>202.07</v>
      </c>
      <c r="K68" s="2">
        <v>6</v>
      </c>
      <c r="L68" s="21"/>
      <c r="M68" s="14"/>
      <c r="N68" s="26"/>
      <c r="O68" s="24"/>
      <c r="P68" s="16"/>
      <c r="Q68" s="2">
        <f t="shared" si="2"/>
        <v>4</v>
      </c>
    </row>
    <row r="69" spans="1:17" x14ac:dyDescent="0.3">
      <c r="A69" s="2" t="s">
        <v>146</v>
      </c>
      <c r="B69" s="2" t="s">
        <v>82</v>
      </c>
      <c r="C69" s="2">
        <v>3</v>
      </c>
      <c r="D69" s="2">
        <v>12100</v>
      </c>
      <c r="H69" s="2">
        <f t="shared" si="9"/>
        <v>606.21</v>
      </c>
      <c r="I69" s="29">
        <v>16.7</v>
      </c>
      <c r="J69" s="8">
        <f t="shared" si="7"/>
        <v>202.07</v>
      </c>
      <c r="K69" s="2">
        <v>6</v>
      </c>
      <c r="L69" s="21"/>
      <c r="M69" s="14"/>
      <c r="N69" s="26"/>
      <c r="O69" s="24"/>
      <c r="P69" s="16"/>
      <c r="Q69" s="2">
        <f t="shared" si="2"/>
        <v>3</v>
      </c>
    </row>
    <row r="70" spans="1:17" x14ac:dyDescent="0.3">
      <c r="A70" s="2" t="s">
        <v>146</v>
      </c>
      <c r="B70" s="2" t="s">
        <v>82</v>
      </c>
      <c r="C70" s="2">
        <v>1</v>
      </c>
      <c r="D70" s="2">
        <v>2700</v>
      </c>
      <c r="H70" s="2">
        <f t="shared" si="9"/>
        <v>45.09</v>
      </c>
      <c r="I70" s="29">
        <v>16.7</v>
      </c>
      <c r="J70" s="8">
        <f t="shared" si="7"/>
        <v>45.09</v>
      </c>
      <c r="K70" s="2">
        <v>12</v>
      </c>
      <c r="L70" s="21"/>
      <c r="M70" s="14"/>
      <c r="N70" s="26"/>
      <c r="O70" s="24"/>
      <c r="P70" s="16"/>
      <c r="Q70" s="2">
        <f t="shared" si="2"/>
        <v>1</v>
      </c>
    </row>
    <row r="71" spans="1:17" x14ac:dyDescent="0.3">
      <c r="A71" s="2" t="s">
        <v>146</v>
      </c>
      <c r="B71" s="2" t="s">
        <v>82</v>
      </c>
      <c r="C71" s="2">
        <v>1</v>
      </c>
      <c r="D71" s="2">
        <v>2300</v>
      </c>
      <c r="H71" s="2">
        <f t="shared" si="9"/>
        <v>38.409999999999997</v>
      </c>
      <c r="I71" s="29">
        <v>16.7</v>
      </c>
      <c r="J71" s="8">
        <f t="shared" si="7"/>
        <v>38.409999999999997</v>
      </c>
      <c r="K71" s="2">
        <v>12</v>
      </c>
      <c r="L71" s="21"/>
      <c r="M71" s="14"/>
      <c r="N71" s="26"/>
      <c r="O71" s="24"/>
      <c r="P71" s="16"/>
      <c r="Q71" s="2">
        <f t="shared" si="2"/>
        <v>1</v>
      </c>
    </row>
    <row r="72" spans="1:17" x14ac:dyDescent="0.3">
      <c r="A72" s="2" t="s">
        <v>146</v>
      </c>
      <c r="B72" s="2" t="s">
        <v>53</v>
      </c>
      <c r="C72" s="2">
        <v>1</v>
      </c>
      <c r="D72" s="2">
        <v>12100</v>
      </c>
      <c r="E72" s="2" t="s">
        <v>42</v>
      </c>
      <c r="F72" s="4" t="s">
        <v>54</v>
      </c>
      <c r="H72" s="2">
        <f t="shared" si="9"/>
        <v>240.78999999999996</v>
      </c>
      <c r="I72" s="29">
        <v>19.899999999999999</v>
      </c>
      <c r="J72" s="8">
        <f t="shared" si="7"/>
        <v>240.78999999999996</v>
      </c>
      <c r="K72" s="2">
        <v>3</v>
      </c>
      <c r="L72" s="21"/>
      <c r="M72" s="14"/>
      <c r="N72" s="26"/>
      <c r="O72" s="24"/>
      <c r="P72" s="16"/>
      <c r="Q72" s="2">
        <f t="shared" si="2"/>
        <v>1</v>
      </c>
    </row>
    <row r="73" spans="1:17" x14ac:dyDescent="0.3">
      <c r="A73" s="2" t="s">
        <v>146</v>
      </c>
      <c r="B73" s="2" t="s">
        <v>53</v>
      </c>
      <c r="C73" s="2">
        <v>1</v>
      </c>
      <c r="D73" s="2">
        <v>12100</v>
      </c>
      <c r="H73" s="2">
        <f t="shared" si="9"/>
        <v>240.78999999999996</v>
      </c>
      <c r="I73" s="29">
        <v>19.899999999999999</v>
      </c>
      <c r="J73" s="8">
        <f t="shared" si="7"/>
        <v>240.78999999999996</v>
      </c>
      <c r="K73" s="2">
        <v>6</v>
      </c>
      <c r="L73" s="21"/>
      <c r="M73" s="14"/>
      <c r="N73" s="26"/>
      <c r="O73" s="24"/>
      <c r="P73" s="16"/>
      <c r="Q73" s="2">
        <f t="shared" si="2"/>
        <v>1</v>
      </c>
    </row>
    <row r="74" spans="1:17" x14ac:dyDescent="0.3">
      <c r="A74" s="2" t="s">
        <v>146</v>
      </c>
      <c r="B74" s="2" t="s">
        <v>51</v>
      </c>
      <c r="C74" s="2">
        <v>2</v>
      </c>
      <c r="D74" s="2">
        <v>12100</v>
      </c>
      <c r="H74" s="2">
        <f t="shared" si="9"/>
        <v>597.74</v>
      </c>
      <c r="I74" s="29">
        <v>24.7</v>
      </c>
      <c r="J74" s="8">
        <f t="shared" si="7"/>
        <v>298.87</v>
      </c>
      <c r="K74" s="2">
        <v>2</v>
      </c>
      <c r="L74" s="21"/>
      <c r="M74" s="14"/>
      <c r="N74" s="26"/>
      <c r="O74" s="24"/>
      <c r="P74" s="16"/>
      <c r="Q74" s="2">
        <f t="shared" si="2"/>
        <v>2</v>
      </c>
    </row>
    <row r="75" spans="1:17" x14ac:dyDescent="0.3">
      <c r="A75" s="2" t="s">
        <v>146</v>
      </c>
      <c r="B75" s="2" t="s">
        <v>51</v>
      </c>
      <c r="C75" s="2">
        <v>20</v>
      </c>
      <c r="D75" s="2">
        <v>12100</v>
      </c>
      <c r="E75" s="2" t="s">
        <v>19</v>
      </c>
      <c r="F75" s="4">
        <v>242020</v>
      </c>
      <c r="H75" s="2">
        <f t="shared" si="9"/>
        <v>5977.4</v>
      </c>
      <c r="I75" s="29">
        <v>24.7</v>
      </c>
      <c r="J75" s="8">
        <f t="shared" si="7"/>
        <v>298.87</v>
      </c>
      <c r="K75" s="2">
        <v>3</v>
      </c>
      <c r="L75" s="21"/>
      <c r="M75" s="14"/>
      <c r="N75" s="26"/>
      <c r="O75" s="24"/>
      <c r="P75" s="16"/>
      <c r="Q75" s="2">
        <f t="shared" si="2"/>
        <v>20</v>
      </c>
    </row>
    <row r="76" spans="1:17" x14ac:dyDescent="0.3">
      <c r="A76" s="2" t="s">
        <v>146</v>
      </c>
      <c r="B76" s="2" t="s">
        <v>51</v>
      </c>
      <c r="C76" s="2">
        <v>16</v>
      </c>
      <c r="D76" s="2">
        <v>10100</v>
      </c>
      <c r="E76" s="2" t="s">
        <v>19</v>
      </c>
      <c r="F76" s="4">
        <v>157949</v>
      </c>
      <c r="H76" s="2">
        <f t="shared" si="9"/>
        <v>3991.52</v>
      </c>
      <c r="I76" s="29">
        <v>24.7</v>
      </c>
      <c r="J76" s="8">
        <f t="shared" si="7"/>
        <v>249.47</v>
      </c>
      <c r="K76" s="2">
        <v>3</v>
      </c>
      <c r="L76" s="21"/>
      <c r="M76" s="14"/>
      <c r="N76" s="26"/>
      <c r="O76" s="24"/>
      <c r="P76" s="16"/>
      <c r="Q76" s="2">
        <f t="shared" si="2"/>
        <v>16</v>
      </c>
    </row>
    <row r="77" spans="1:17" x14ac:dyDescent="0.3">
      <c r="A77" s="2" t="s">
        <v>146</v>
      </c>
      <c r="B77" s="2" t="s">
        <v>51</v>
      </c>
      <c r="C77" s="2">
        <v>16</v>
      </c>
      <c r="D77" s="2">
        <v>10100</v>
      </c>
      <c r="E77" s="2" t="s">
        <v>19</v>
      </c>
      <c r="F77" s="4">
        <v>158212</v>
      </c>
      <c r="H77" s="2">
        <f t="shared" si="9"/>
        <v>3991.52</v>
      </c>
      <c r="I77" s="29">
        <v>24.7</v>
      </c>
      <c r="J77" s="8">
        <f t="shared" si="7"/>
        <v>249.47</v>
      </c>
      <c r="K77" s="2">
        <v>3</v>
      </c>
      <c r="L77" s="21"/>
      <c r="M77" s="14"/>
      <c r="N77" s="26"/>
      <c r="O77" s="24"/>
      <c r="P77" s="16"/>
      <c r="Q77" s="2">
        <f t="shared" si="2"/>
        <v>16</v>
      </c>
    </row>
    <row r="78" spans="1:17" x14ac:dyDescent="0.3">
      <c r="A78" s="2" t="s">
        <v>146</v>
      </c>
      <c r="B78" s="2" t="s">
        <v>51</v>
      </c>
      <c r="C78" s="2">
        <v>16</v>
      </c>
      <c r="D78" s="2">
        <v>10100</v>
      </c>
      <c r="E78" s="2" t="s">
        <v>19</v>
      </c>
      <c r="F78" s="4">
        <v>157949</v>
      </c>
      <c r="H78" s="2">
        <f t="shared" si="9"/>
        <v>3991.52</v>
      </c>
      <c r="I78" s="29">
        <v>24.7</v>
      </c>
      <c r="J78" s="8">
        <f t="shared" si="7"/>
        <v>249.47</v>
      </c>
      <c r="K78" s="2">
        <v>3</v>
      </c>
      <c r="L78" s="21"/>
      <c r="M78" s="14"/>
      <c r="N78" s="26"/>
      <c r="O78" s="24"/>
      <c r="P78" s="16"/>
      <c r="Q78" s="2">
        <f t="shared" si="2"/>
        <v>16</v>
      </c>
    </row>
    <row r="79" spans="1:17" x14ac:dyDescent="0.3">
      <c r="A79" s="2" t="s">
        <v>146</v>
      </c>
      <c r="B79" s="2" t="s">
        <v>51</v>
      </c>
      <c r="C79" s="2">
        <v>13</v>
      </c>
      <c r="D79" s="2">
        <v>9200</v>
      </c>
      <c r="E79" s="2" t="s">
        <v>19</v>
      </c>
      <c r="F79" s="4">
        <v>158212</v>
      </c>
      <c r="H79" s="2">
        <f t="shared" si="9"/>
        <v>2954.12</v>
      </c>
      <c r="I79" s="29">
        <v>24.7</v>
      </c>
      <c r="J79" s="8">
        <f t="shared" si="7"/>
        <v>227.24</v>
      </c>
      <c r="K79" s="2">
        <v>3</v>
      </c>
      <c r="L79" s="21"/>
      <c r="M79" s="14"/>
      <c r="N79" s="26"/>
      <c r="O79" s="24"/>
      <c r="P79" s="16"/>
      <c r="Q79" s="2">
        <f t="shared" si="2"/>
        <v>13</v>
      </c>
    </row>
    <row r="80" spans="1:17" x14ac:dyDescent="0.3">
      <c r="A80" s="2" t="s">
        <v>146</v>
      </c>
      <c r="B80" s="2" t="s">
        <v>51</v>
      </c>
      <c r="C80" s="2">
        <v>2</v>
      </c>
      <c r="D80" s="2">
        <v>10100</v>
      </c>
      <c r="E80" s="2" t="s">
        <v>19</v>
      </c>
      <c r="F80" s="4">
        <v>158212</v>
      </c>
      <c r="H80" s="2">
        <f t="shared" si="9"/>
        <v>498.94</v>
      </c>
      <c r="I80" s="29">
        <v>24.7</v>
      </c>
      <c r="J80" s="8">
        <f t="shared" si="7"/>
        <v>249.47</v>
      </c>
      <c r="K80" s="2">
        <v>3</v>
      </c>
      <c r="L80" s="21"/>
      <c r="M80" s="14"/>
      <c r="N80" s="26"/>
      <c r="O80" s="24"/>
      <c r="P80" s="16"/>
      <c r="Q80" s="2">
        <f t="shared" si="2"/>
        <v>2</v>
      </c>
    </row>
    <row r="81" spans="1:17" x14ac:dyDescent="0.3">
      <c r="A81" s="2" t="s">
        <v>146</v>
      </c>
      <c r="B81" s="2" t="s">
        <v>51</v>
      </c>
      <c r="C81" s="2">
        <v>2</v>
      </c>
      <c r="D81" s="2">
        <v>2400</v>
      </c>
      <c r="H81" s="2">
        <f t="shared" si="9"/>
        <v>118.56</v>
      </c>
      <c r="I81" s="29">
        <v>24.7</v>
      </c>
      <c r="J81" s="8">
        <f t="shared" si="7"/>
        <v>59.28</v>
      </c>
      <c r="K81" s="2">
        <v>11</v>
      </c>
      <c r="L81" s="21"/>
      <c r="M81" s="14"/>
      <c r="N81" s="26"/>
      <c r="O81" s="24"/>
      <c r="P81" s="16"/>
      <c r="Q81" s="2">
        <f t="shared" si="2"/>
        <v>2</v>
      </c>
    </row>
    <row r="82" spans="1:17" x14ac:dyDescent="0.3">
      <c r="A82" s="2" t="s">
        <v>146</v>
      </c>
      <c r="B82" s="2" t="s">
        <v>29</v>
      </c>
      <c r="C82" s="2">
        <v>11</v>
      </c>
      <c r="D82" s="2">
        <v>12100</v>
      </c>
      <c r="E82" s="2" t="s">
        <v>19</v>
      </c>
      <c r="F82" s="4">
        <v>157446</v>
      </c>
      <c r="H82" s="2">
        <f t="shared" si="9"/>
        <v>4046.24</v>
      </c>
      <c r="I82" s="29">
        <v>30.4</v>
      </c>
      <c r="J82" s="8">
        <f t="shared" si="7"/>
        <v>367.84</v>
      </c>
      <c r="K82" s="2">
        <v>1</v>
      </c>
      <c r="L82" s="21"/>
      <c r="M82" s="14"/>
      <c r="N82" s="26"/>
      <c r="O82" s="24"/>
      <c r="P82" s="16"/>
      <c r="Q82" s="2">
        <f t="shared" si="2"/>
        <v>11</v>
      </c>
    </row>
    <row r="83" spans="1:17" x14ac:dyDescent="0.3">
      <c r="A83" s="2" t="s">
        <v>146</v>
      </c>
      <c r="B83" s="2" t="s">
        <v>29</v>
      </c>
      <c r="C83" s="2">
        <v>4</v>
      </c>
      <c r="D83" s="2">
        <v>12100</v>
      </c>
      <c r="H83" s="2">
        <f t="shared" si="9"/>
        <v>1471.36</v>
      </c>
      <c r="I83" s="29">
        <v>30.4</v>
      </c>
      <c r="J83" s="8">
        <f t="shared" si="7"/>
        <v>367.84</v>
      </c>
      <c r="K83" s="2">
        <v>1</v>
      </c>
      <c r="L83" s="21"/>
      <c r="M83" s="14"/>
      <c r="N83" s="26"/>
      <c r="O83" s="24"/>
      <c r="P83" s="16"/>
      <c r="Q83" s="2">
        <f t="shared" si="2"/>
        <v>4</v>
      </c>
    </row>
    <row r="84" spans="1:17" x14ac:dyDescent="0.3">
      <c r="A84" s="2" t="s">
        <v>146</v>
      </c>
      <c r="B84" s="2" t="s">
        <v>29</v>
      </c>
      <c r="C84" s="2">
        <v>8</v>
      </c>
      <c r="D84" s="2">
        <v>7100</v>
      </c>
      <c r="H84" s="2">
        <f t="shared" si="9"/>
        <v>1726.72</v>
      </c>
      <c r="I84" s="29">
        <v>30.4</v>
      </c>
      <c r="J84" s="8">
        <f t="shared" si="7"/>
        <v>215.84</v>
      </c>
      <c r="K84" s="2">
        <v>2</v>
      </c>
      <c r="L84" s="21"/>
      <c r="M84" s="14"/>
      <c r="N84" s="26"/>
      <c r="O84" s="24"/>
      <c r="P84" s="16"/>
      <c r="Q84" s="2">
        <f t="shared" si="2"/>
        <v>8</v>
      </c>
    </row>
    <row r="85" spans="1:17" x14ac:dyDescent="0.3">
      <c r="A85" s="2" t="s">
        <v>146</v>
      </c>
      <c r="B85" s="2" t="s">
        <v>29</v>
      </c>
      <c r="C85" s="2">
        <v>2</v>
      </c>
      <c r="D85" s="2">
        <v>12100</v>
      </c>
      <c r="H85" s="2">
        <f t="shared" si="9"/>
        <v>735.68</v>
      </c>
      <c r="I85" s="29">
        <v>30.4</v>
      </c>
      <c r="J85" s="8">
        <f t="shared" si="7"/>
        <v>367.84</v>
      </c>
      <c r="K85" s="2">
        <v>5</v>
      </c>
      <c r="L85" s="21"/>
      <c r="M85" s="14"/>
      <c r="N85" s="26"/>
      <c r="O85" s="24"/>
      <c r="P85" s="16"/>
      <c r="Q85" s="2">
        <f t="shared" ref="Q85:Q148" si="10">C85-M85+P85</f>
        <v>2</v>
      </c>
    </row>
    <row r="86" spans="1:17" x14ac:dyDescent="0.3">
      <c r="A86" s="2" t="s">
        <v>146</v>
      </c>
      <c r="B86" s="2" t="s">
        <v>29</v>
      </c>
      <c r="C86" s="2">
        <v>1</v>
      </c>
      <c r="D86" s="2">
        <v>6700</v>
      </c>
      <c r="H86" s="2">
        <f t="shared" si="9"/>
        <v>203.68</v>
      </c>
      <c r="I86" s="29">
        <v>30.4</v>
      </c>
      <c r="J86" s="8">
        <f t="shared" si="7"/>
        <v>203.68</v>
      </c>
      <c r="K86" s="2">
        <v>5</v>
      </c>
      <c r="L86" s="21"/>
      <c r="M86" s="14"/>
      <c r="N86" s="26"/>
      <c r="O86" s="24"/>
      <c r="P86" s="16"/>
      <c r="Q86" s="2">
        <f t="shared" si="10"/>
        <v>1</v>
      </c>
    </row>
    <row r="87" spans="1:17" x14ac:dyDescent="0.3">
      <c r="A87" s="2" t="s">
        <v>146</v>
      </c>
      <c r="B87" s="2" t="s">
        <v>29</v>
      </c>
      <c r="C87" s="2">
        <v>1</v>
      </c>
      <c r="D87" s="2">
        <v>3700</v>
      </c>
      <c r="H87" s="2">
        <f t="shared" si="9"/>
        <v>112.48</v>
      </c>
      <c r="I87" s="29">
        <v>30.4</v>
      </c>
      <c r="J87" s="8">
        <f t="shared" si="7"/>
        <v>112.48</v>
      </c>
      <c r="K87" s="2">
        <v>5</v>
      </c>
      <c r="L87" s="21"/>
      <c r="M87" s="14"/>
      <c r="N87" s="26"/>
      <c r="O87" s="24"/>
      <c r="P87" s="16"/>
      <c r="Q87" s="2">
        <f t="shared" si="10"/>
        <v>1</v>
      </c>
    </row>
    <row r="88" spans="1:17" x14ac:dyDescent="0.3">
      <c r="A88" s="2" t="s">
        <v>146</v>
      </c>
      <c r="B88" s="2" t="s">
        <v>29</v>
      </c>
      <c r="C88" s="2">
        <v>1</v>
      </c>
      <c r="D88" s="2">
        <v>12100</v>
      </c>
      <c r="E88" s="2" t="s">
        <v>20</v>
      </c>
      <c r="H88" s="2">
        <f t="shared" si="9"/>
        <v>367.84</v>
      </c>
      <c r="I88" s="29">
        <v>30.4</v>
      </c>
      <c r="J88" s="8">
        <f t="shared" si="7"/>
        <v>367.84</v>
      </c>
      <c r="K88" s="2">
        <v>5</v>
      </c>
      <c r="L88" s="21"/>
      <c r="M88" s="14"/>
      <c r="N88" s="26"/>
      <c r="O88" s="24"/>
      <c r="P88" s="16"/>
      <c r="Q88" s="2">
        <f t="shared" si="10"/>
        <v>1</v>
      </c>
    </row>
    <row r="89" spans="1:17" x14ac:dyDescent="0.3">
      <c r="A89" s="2" t="s">
        <v>146</v>
      </c>
      <c r="B89" s="2" t="s">
        <v>29</v>
      </c>
      <c r="C89" s="2">
        <v>10</v>
      </c>
      <c r="D89" s="2">
        <v>12100</v>
      </c>
      <c r="H89" s="2">
        <f t="shared" si="9"/>
        <v>3678.3999999999996</v>
      </c>
      <c r="I89" s="29">
        <v>30.4</v>
      </c>
      <c r="J89" s="8">
        <f t="shared" si="7"/>
        <v>367.84</v>
      </c>
      <c r="K89" s="2">
        <v>5</v>
      </c>
      <c r="L89" s="21"/>
      <c r="M89" s="14"/>
      <c r="N89" s="26"/>
      <c r="O89" s="24"/>
      <c r="P89" s="16"/>
      <c r="Q89" s="2">
        <f t="shared" si="10"/>
        <v>10</v>
      </c>
    </row>
    <row r="90" spans="1:17" x14ac:dyDescent="0.3">
      <c r="A90" s="2" t="s">
        <v>146</v>
      </c>
      <c r="B90" s="2" t="s">
        <v>29</v>
      </c>
      <c r="C90" s="2">
        <v>1</v>
      </c>
      <c r="D90" s="2">
        <v>12100</v>
      </c>
      <c r="E90" s="2" t="s">
        <v>64</v>
      </c>
      <c r="F90" s="4">
        <v>85160</v>
      </c>
      <c r="H90" s="2">
        <f t="shared" si="9"/>
        <v>367.84</v>
      </c>
      <c r="I90" s="29">
        <v>30.4</v>
      </c>
      <c r="J90" s="8">
        <f t="shared" si="7"/>
        <v>367.84</v>
      </c>
      <c r="K90" s="2">
        <v>5</v>
      </c>
      <c r="L90" s="21"/>
      <c r="M90" s="14"/>
      <c r="N90" s="26"/>
      <c r="O90" s="24"/>
      <c r="P90" s="16"/>
      <c r="Q90" s="2">
        <f t="shared" si="10"/>
        <v>1</v>
      </c>
    </row>
    <row r="91" spans="1:17" x14ac:dyDescent="0.3">
      <c r="A91" s="2" t="s">
        <v>146</v>
      </c>
      <c r="B91" s="2" t="s">
        <v>29</v>
      </c>
      <c r="C91" s="2">
        <v>21</v>
      </c>
      <c r="D91" s="2">
        <v>12100</v>
      </c>
      <c r="E91" s="2" t="s">
        <v>64</v>
      </c>
      <c r="F91" s="5" t="s">
        <v>90</v>
      </c>
      <c r="H91" s="2">
        <f t="shared" si="9"/>
        <v>7724.6399999999994</v>
      </c>
      <c r="I91" s="29">
        <v>30.4</v>
      </c>
      <c r="J91" s="8">
        <f t="shared" si="7"/>
        <v>367.84</v>
      </c>
      <c r="K91" s="2">
        <v>6</v>
      </c>
      <c r="L91" s="21"/>
      <c r="M91" s="14"/>
      <c r="N91" s="26"/>
      <c r="O91" s="24"/>
      <c r="P91" s="16"/>
      <c r="Q91" s="2">
        <f t="shared" si="10"/>
        <v>21</v>
      </c>
    </row>
    <row r="92" spans="1:17" x14ac:dyDescent="0.3">
      <c r="A92" s="2" t="s">
        <v>146</v>
      </c>
      <c r="B92" s="2" t="s">
        <v>29</v>
      </c>
      <c r="C92" s="2">
        <v>1</v>
      </c>
      <c r="D92" s="2">
        <v>1900</v>
      </c>
      <c r="H92" s="2">
        <f t="shared" si="9"/>
        <v>57.76</v>
      </c>
      <c r="I92" s="29">
        <v>30.4</v>
      </c>
      <c r="J92" s="8">
        <f t="shared" si="7"/>
        <v>57.76</v>
      </c>
      <c r="K92" s="2">
        <v>8</v>
      </c>
      <c r="L92" s="21"/>
      <c r="M92" s="14"/>
      <c r="N92" s="26"/>
      <c r="O92" s="24"/>
      <c r="P92" s="16"/>
      <c r="Q92" s="2">
        <f t="shared" si="10"/>
        <v>1</v>
      </c>
    </row>
    <row r="93" spans="1:17" x14ac:dyDescent="0.3">
      <c r="A93" s="2" t="s">
        <v>146</v>
      </c>
      <c r="B93" s="2" t="s">
        <v>29</v>
      </c>
      <c r="C93" s="2">
        <v>1</v>
      </c>
      <c r="D93" s="2">
        <v>2100</v>
      </c>
      <c r="H93" s="2">
        <f t="shared" si="9"/>
        <v>63.84</v>
      </c>
      <c r="I93" s="29">
        <v>30.4</v>
      </c>
      <c r="J93" s="8">
        <f t="shared" si="7"/>
        <v>63.84</v>
      </c>
      <c r="K93" s="2">
        <v>10</v>
      </c>
      <c r="L93" s="21"/>
      <c r="M93" s="14"/>
      <c r="N93" s="26"/>
      <c r="O93" s="24"/>
      <c r="P93" s="16"/>
      <c r="Q93" s="2">
        <f t="shared" si="10"/>
        <v>1</v>
      </c>
    </row>
    <row r="94" spans="1:17" x14ac:dyDescent="0.3">
      <c r="A94" s="2" t="s">
        <v>146</v>
      </c>
      <c r="B94" s="2" t="s">
        <v>29</v>
      </c>
      <c r="C94" s="2">
        <v>1</v>
      </c>
      <c r="D94" s="2">
        <v>2800</v>
      </c>
      <c r="H94" s="2">
        <f t="shared" si="9"/>
        <v>85.12</v>
      </c>
      <c r="I94" s="29">
        <v>30.4</v>
      </c>
      <c r="J94" s="8">
        <f t="shared" si="7"/>
        <v>85.12</v>
      </c>
      <c r="K94" s="2">
        <v>10</v>
      </c>
      <c r="L94" s="21"/>
      <c r="M94" s="14"/>
      <c r="N94" s="26"/>
      <c r="O94" s="24"/>
      <c r="P94" s="16"/>
      <c r="Q94" s="2">
        <f t="shared" si="10"/>
        <v>1</v>
      </c>
    </row>
    <row r="95" spans="1:17" x14ac:dyDescent="0.3">
      <c r="A95" s="2" t="s">
        <v>146</v>
      </c>
      <c r="B95" s="2" t="s">
        <v>29</v>
      </c>
      <c r="C95" s="2">
        <v>1</v>
      </c>
      <c r="D95" s="2">
        <v>3600</v>
      </c>
      <c r="H95" s="2">
        <f t="shared" si="9"/>
        <v>109.44</v>
      </c>
      <c r="I95" s="29">
        <v>30.4</v>
      </c>
      <c r="J95" s="8">
        <f t="shared" si="7"/>
        <v>109.44</v>
      </c>
      <c r="K95" s="2">
        <v>10</v>
      </c>
      <c r="L95" s="21"/>
      <c r="M95" s="14"/>
      <c r="N95" s="26"/>
      <c r="O95" s="24"/>
      <c r="P95" s="16"/>
      <c r="Q95" s="2">
        <f t="shared" si="10"/>
        <v>1</v>
      </c>
    </row>
    <row r="96" spans="1:17" x14ac:dyDescent="0.3">
      <c r="A96" s="2" t="s">
        <v>146</v>
      </c>
      <c r="B96" s="2" t="s">
        <v>29</v>
      </c>
      <c r="C96" s="2">
        <v>1</v>
      </c>
      <c r="D96" s="2">
        <v>2600</v>
      </c>
      <c r="H96" s="2">
        <f t="shared" si="9"/>
        <v>79.040000000000006</v>
      </c>
      <c r="I96" s="29">
        <v>30.4</v>
      </c>
      <c r="J96" s="8">
        <f t="shared" si="7"/>
        <v>79.040000000000006</v>
      </c>
      <c r="K96" s="2">
        <v>11</v>
      </c>
      <c r="L96" s="21"/>
      <c r="M96" s="14"/>
      <c r="N96" s="26"/>
      <c r="O96" s="24"/>
      <c r="P96" s="16"/>
      <c r="Q96" s="2">
        <f t="shared" si="10"/>
        <v>1</v>
      </c>
    </row>
    <row r="97" spans="1:17" x14ac:dyDescent="0.3">
      <c r="A97" s="2" t="s">
        <v>146</v>
      </c>
      <c r="B97" s="2" t="s">
        <v>23</v>
      </c>
      <c r="C97" s="2">
        <v>8</v>
      </c>
      <c r="D97" s="2">
        <v>12100</v>
      </c>
      <c r="H97" s="2">
        <f t="shared" si="9"/>
        <v>3436.4</v>
      </c>
      <c r="I97" s="29">
        <v>35.5</v>
      </c>
      <c r="J97" s="8">
        <f t="shared" si="7"/>
        <v>429.55</v>
      </c>
      <c r="K97" s="2">
        <v>1</v>
      </c>
      <c r="L97" s="21"/>
      <c r="M97" s="14"/>
      <c r="N97" s="26"/>
      <c r="O97" s="24"/>
      <c r="P97" s="16"/>
      <c r="Q97" s="2">
        <f t="shared" si="10"/>
        <v>8</v>
      </c>
    </row>
    <row r="98" spans="1:17" x14ac:dyDescent="0.3">
      <c r="A98" s="2" t="s">
        <v>146</v>
      </c>
      <c r="B98" s="2" t="s">
        <v>23</v>
      </c>
      <c r="C98" s="2">
        <v>12</v>
      </c>
      <c r="D98" s="2">
        <v>12100</v>
      </c>
      <c r="E98" s="2" t="s">
        <v>19</v>
      </c>
      <c r="F98" s="4">
        <v>2253442</v>
      </c>
      <c r="H98" s="2">
        <f t="shared" si="9"/>
        <v>5154.6000000000004</v>
      </c>
      <c r="I98" s="29">
        <v>35.5</v>
      </c>
      <c r="J98" s="8">
        <f t="shared" si="7"/>
        <v>429.55</v>
      </c>
      <c r="K98" s="2">
        <v>3</v>
      </c>
      <c r="L98" s="21"/>
      <c r="M98" s="14"/>
      <c r="N98" s="26"/>
      <c r="O98" s="24"/>
      <c r="P98" s="16"/>
      <c r="Q98" s="2">
        <f t="shared" si="10"/>
        <v>12</v>
      </c>
    </row>
    <row r="99" spans="1:17" x14ac:dyDescent="0.3">
      <c r="A99" s="2" t="s">
        <v>146</v>
      </c>
      <c r="B99" s="2" t="s">
        <v>23</v>
      </c>
      <c r="C99" s="2">
        <v>4</v>
      </c>
      <c r="D99" s="2">
        <v>12100</v>
      </c>
      <c r="H99" s="2">
        <f t="shared" si="9"/>
        <v>1718.2</v>
      </c>
      <c r="I99" s="29">
        <v>35.5</v>
      </c>
      <c r="J99" s="8">
        <f t="shared" si="7"/>
        <v>429.55</v>
      </c>
      <c r="K99" s="2">
        <v>3</v>
      </c>
      <c r="L99" s="21"/>
      <c r="M99" s="14"/>
      <c r="N99" s="26"/>
      <c r="O99" s="24"/>
      <c r="P99" s="16"/>
      <c r="Q99" s="2">
        <f t="shared" si="10"/>
        <v>4</v>
      </c>
    </row>
    <row r="100" spans="1:17" x14ac:dyDescent="0.3">
      <c r="A100" s="2" t="s">
        <v>146</v>
      </c>
      <c r="B100" s="2" t="s">
        <v>23</v>
      </c>
      <c r="C100" s="2">
        <v>2</v>
      </c>
      <c r="D100" s="2">
        <v>12100</v>
      </c>
      <c r="H100" s="2">
        <f t="shared" si="9"/>
        <v>859.1</v>
      </c>
      <c r="I100" s="29">
        <v>35.5</v>
      </c>
      <c r="J100" s="8">
        <f t="shared" si="7"/>
        <v>429.55</v>
      </c>
      <c r="K100" s="2">
        <v>6</v>
      </c>
      <c r="L100" s="21"/>
      <c r="M100" s="14"/>
      <c r="N100" s="26"/>
      <c r="O100" s="24"/>
      <c r="P100" s="16"/>
      <c r="Q100" s="2">
        <f t="shared" si="10"/>
        <v>2</v>
      </c>
    </row>
    <row r="101" spans="1:17" x14ac:dyDescent="0.3">
      <c r="A101" s="2" t="s">
        <v>146</v>
      </c>
      <c r="B101" s="2" t="s">
        <v>23</v>
      </c>
      <c r="C101" s="2">
        <v>4</v>
      </c>
      <c r="D101" s="2">
        <v>12100</v>
      </c>
      <c r="E101" s="2" t="s">
        <v>19</v>
      </c>
      <c r="F101" s="4">
        <v>27890</v>
      </c>
      <c r="H101" s="2">
        <f t="shared" si="9"/>
        <v>1718.2</v>
      </c>
      <c r="I101" s="29">
        <v>35.5</v>
      </c>
      <c r="J101" s="8">
        <f t="shared" si="7"/>
        <v>429.55</v>
      </c>
      <c r="K101" s="2">
        <v>6</v>
      </c>
      <c r="L101" s="21"/>
      <c r="M101" s="14"/>
      <c r="N101" s="26"/>
      <c r="O101" s="24"/>
      <c r="P101" s="16"/>
      <c r="Q101" s="2">
        <f t="shared" si="10"/>
        <v>4</v>
      </c>
    </row>
    <row r="102" spans="1:17" x14ac:dyDescent="0.3">
      <c r="A102" s="2" t="s">
        <v>146</v>
      </c>
      <c r="B102" s="2" t="s">
        <v>23</v>
      </c>
      <c r="C102" s="2">
        <v>1</v>
      </c>
      <c r="D102" s="2">
        <v>5800</v>
      </c>
      <c r="H102" s="2">
        <f t="shared" si="9"/>
        <v>205.9</v>
      </c>
      <c r="I102" s="29">
        <v>35.5</v>
      </c>
      <c r="J102" s="8">
        <f t="shared" si="7"/>
        <v>205.9</v>
      </c>
      <c r="K102" s="2">
        <v>6</v>
      </c>
      <c r="L102" s="21"/>
      <c r="M102" s="14"/>
      <c r="N102" s="26"/>
      <c r="O102" s="24"/>
      <c r="P102" s="16"/>
      <c r="Q102" s="2">
        <f t="shared" si="10"/>
        <v>1</v>
      </c>
    </row>
    <row r="103" spans="1:17" x14ac:dyDescent="0.3">
      <c r="A103" s="2" t="s">
        <v>146</v>
      </c>
      <c r="B103" s="2" t="s">
        <v>23</v>
      </c>
      <c r="C103" s="2">
        <v>3</v>
      </c>
      <c r="D103" s="2">
        <v>12100</v>
      </c>
      <c r="E103" s="2" t="s">
        <v>19</v>
      </c>
      <c r="H103" s="2">
        <f t="shared" si="9"/>
        <v>1288.6500000000001</v>
      </c>
      <c r="I103" s="29">
        <v>35.5</v>
      </c>
      <c r="J103" s="8">
        <f t="shared" si="7"/>
        <v>429.55</v>
      </c>
      <c r="K103" s="2">
        <v>7</v>
      </c>
      <c r="L103" s="21"/>
      <c r="M103" s="14"/>
      <c r="N103" s="26"/>
      <c r="O103" s="24"/>
      <c r="P103" s="16"/>
      <c r="Q103" s="2">
        <f t="shared" si="10"/>
        <v>3</v>
      </c>
    </row>
    <row r="104" spans="1:17" x14ac:dyDescent="0.3">
      <c r="A104" s="2" t="s">
        <v>146</v>
      </c>
      <c r="B104" s="2" t="s">
        <v>23</v>
      </c>
      <c r="C104" s="2">
        <v>2</v>
      </c>
      <c r="D104" s="2">
        <v>12100</v>
      </c>
      <c r="H104" s="2">
        <f t="shared" si="9"/>
        <v>859.1</v>
      </c>
      <c r="I104" s="29">
        <v>35.5</v>
      </c>
      <c r="J104" s="8">
        <f t="shared" si="7"/>
        <v>429.55</v>
      </c>
      <c r="K104" s="2">
        <v>7</v>
      </c>
      <c r="L104" s="21"/>
      <c r="M104" s="14"/>
      <c r="N104" s="26"/>
      <c r="O104" s="24"/>
      <c r="P104" s="16"/>
      <c r="Q104" s="2">
        <f t="shared" si="10"/>
        <v>2</v>
      </c>
    </row>
    <row r="105" spans="1:17" x14ac:dyDescent="0.3">
      <c r="A105" s="2" t="s">
        <v>146</v>
      </c>
      <c r="B105" s="2" t="s">
        <v>23</v>
      </c>
      <c r="C105" s="2">
        <v>1</v>
      </c>
      <c r="D105" s="2">
        <v>3100</v>
      </c>
      <c r="H105" s="2">
        <f t="shared" si="9"/>
        <v>110.05</v>
      </c>
      <c r="I105" s="29">
        <v>35.5</v>
      </c>
      <c r="J105" s="8">
        <f t="shared" si="7"/>
        <v>110.05</v>
      </c>
      <c r="K105" s="2">
        <v>7</v>
      </c>
      <c r="L105" s="21"/>
      <c r="M105" s="14"/>
      <c r="N105" s="26"/>
      <c r="O105" s="24"/>
      <c r="P105" s="16"/>
      <c r="Q105" s="2">
        <f t="shared" si="10"/>
        <v>1</v>
      </c>
    </row>
    <row r="106" spans="1:17" x14ac:dyDescent="0.3">
      <c r="A106" s="2" t="s">
        <v>146</v>
      </c>
      <c r="B106" s="2" t="s">
        <v>23</v>
      </c>
      <c r="C106" s="2">
        <v>1</v>
      </c>
      <c r="D106" s="2">
        <v>4800</v>
      </c>
      <c r="H106" s="2">
        <f t="shared" si="9"/>
        <v>170.4</v>
      </c>
      <c r="I106" s="29">
        <v>35.5</v>
      </c>
      <c r="J106" s="8">
        <f t="shared" si="7"/>
        <v>170.4</v>
      </c>
      <c r="K106" s="2">
        <v>9</v>
      </c>
      <c r="L106" s="21"/>
      <c r="M106" s="14"/>
      <c r="N106" s="26"/>
      <c r="O106" s="24"/>
      <c r="P106" s="16"/>
      <c r="Q106" s="2">
        <f t="shared" si="10"/>
        <v>1</v>
      </c>
    </row>
    <row r="107" spans="1:17" x14ac:dyDescent="0.3">
      <c r="A107" s="2" t="s">
        <v>146</v>
      </c>
      <c r="B107" s="2" t="s">
        <v>23</v>
      </c>
      <c r="C107" s="2">
        <v>1</v>
      </c>
      <c r="D107" s="2">
        <v>4000</v>
      </c>
      <c r="H107" s="2">
        <f t="shared" si="9"/>
        <v>142</v>
      </c>
      <c r="I107" s="29">
        <v>35.5</v>
      </c>
      <c r="J107" s="8">
        <f t="shared" si="7"/>
        <v>142</v>
      </c>
      <c r="L107" s="21"/>
      <c r="M107" s="14"/>
      <c r="N107" s="26" t="s">
        <v>199</v>
      </c>
      <c r="O107" s="24"/>
      <c r="P107" s="16"/>
      <c r="Q107" s="2">
        <f t="shared" si="10"/>
        <v>1</v>
      </c>
    </row>
    <row r="108" spans="1:17" x14ac:dyDescent="0.3">
      <c r="A108" s="2" t="s">
        <v>146</v>
      </c>
      <c r="B108" s="2" t="s">
        <v>23</v>
      </c>
      <c r="C108" s="2">
        <v>1</v>
      </c>
      <c r="D108" s="2">
        <v>1600</v>
      </c>
      <c r="H108" s="2">
        <f t="shared" si="9"/>
        <v>56.8</v>
      </c>
      <c r="I108" s="29">
        <v>35.5</v>
      </c>
      <c r="J108" s="8">
        <f t="shared" si="7"/>
        <v>56.8</v>
      </c>
      <c r="K108" s="2">
        <v>11</v>
      </c>
      <c r="L108" s="21"/>
      <c r="M108" s="14"/>
      <c r="N108" s="26"/>
      <c r="O108" s="24"/>
      <c r="P108" s="16"/>
      <c r="Q108" s="2">
        <f t="shared" si="10"/>
        <v>1</v>
      </c>
    </row>
    <row r="109" spans="1:17" x14ac:dyDescent="0.3">
      <c r="A109" s="2" t="s">
        <v>146</v>
      </c>
      <c r="B109" s="2" t="s">
        <v>30</v>
      </c>
      <c r="C109" s="2">
        <v>20</v>
      </c>
      <c r="D109" s="2">
        <v>7100</v>
      </c>
      <c r="E109" s="2" t="s">
        <v>19</v>
      </c>
      <c r="G109" s="2" t="s">
        <v>17</v>
      </c>
      <c r="H109" s="2">
        <f t="shared" si="9"/>
        <v>6006.5999999999995</v>
      </c>
      <c r="I109" s="29">
        <v>42.3</v>
      </c>
      <c r="J109" s="8">
        <f t="shared" si="7"/>
        <v>300.33</v>
      </c>
      <c r="K109" s="2">
        <v>1</v>
      </c>
      <c r="L109" s="21"/>
      <c r="M109" s="14"/>
      <c r="N109" s="26"/>
      <c r="O109" s="24"/>
      <c r="P109" s="16"/>
      <c r="Q109" s="2">
        <f t="shared" si="10"/>
        <v>20</v>
      </c>
    </row>
    <row r="110" spans="1:17" x14ac:dyDescent="0.3">
      <c r="A110" s="2" t="s">
        <v>146</v>
      </c>
      <c r="B110" s="2" t="s">
        <v>30</v>
      </c>
      <c r="C110" s="2">
        <v>33</v>
      </c>
      <c r="D110" s="2">
        <v>12100</v>
      </c>
      <c r="H110" s="2">
        <f t="shared" si="9"/>
        <v>16890.39</v>
      </c>
      <c r="I110" s="29">
        <v>42.3</v>
      </c>
      <c r="J110" s="8">
        <f t="shared" si="7"/>
        <v>511.82999999999993</v>
      </c>
      <c r="K110" s="2">
        <v>1</v>
      </c>
      <c r="L110" s="21"/>
      <c r="M110" s="14"/>
      <c r="N110" s="26"/>
      <c r="O110" s="24"/>
      <c r="P110" s="16"/>
      <c r="Q110" s="2">
        <f t="shared" si="10"/>
        <v>33</v>
      </c>
    </row>
    <row r="111" spans="1:17" x14ac:dyDescent="0.3">
      <c r="A111" s="2" t="s">
        <v>146</v>
      </c>
      <c r="B111" s="2" t="s">
        <v>30</v>
      </c>
      <c r="C111" s="2">
        <v>1</v>
      </c>
      <c r="D111" s="2">
        <v>12100</v>
      </c>
      <c r="H111" s="2">
        <f t="shared" si="9"/>
        <v>511.82999999999993</v>
      </c>
      <c r="I111" s="29">
        <v>42.3</v>
      </c>
      <c r="J111" s="8">
        <f t="shared" ref="J111:J174" si="11">+I111*D111/1000</f>
        <v>511.82999999999993</v>
      </c>
      <c r="K111" s="2">
        <v>4</v>
      </c>
      <c r="L111" s="21"/>
      <c r="M111" s="14"/>
      <c r="N111" s="26"/>
      <c r="O111" s="24"/>
      <c r="P111" s="16"/>
      <c r="Q111" s="2">
        <f t="shared" si="10"/>
        <v>1</v>
      </c>
    </row>
    <row r="112" spans="1:17" x14ac:dyDescent="0.3">
      <c r="A112" s="2" t="s">
        <v>146</v>
      </c>
      <c r="B112" s="2" t="s">
        <v>30</v>
      </c>
      <c r="C112" s="2">
        <v>1</v>
      </c>
      <c r="D112" s="2">
        <v>6000</v>
      </c>
      <c r="H112" s="2">
        <f t="shared" si="9"/>
        <v>253.79999999999998</v>
      </c>
      <c r="I112" s="29">
        <v>42.3</v>
      </c>
      <c r="J112" s="8">
        <f t="shared" si="11"/>
        <v>253.79999999999998</v>
      </c>
      <c r="K112" s="2">
        <v>5</v>
      </c>
      <c r="L112" s="21"/>
      <c r="M112" s="14"/>
      <c r="N112" s="26"/>
      <c r="O112" s="24"/>
      <c r="P112" s="16"/>
      <c r="Q112" s="2">
        <f t="shared" si="10"/>
        <v>1</v>
      </c>
    </row>
    <row r="113" spans="1:17" x14ac:dyDescent="0.3">
      <c r="A113" s="2" t="s">
        <v>146</v>
      </c>
      <c r="B113" s="2" t="s">
        <v>30</v>
      </c>
      <c r="C113" s="2">
        <v>5</v>
      </c>
      <c r="D113" s="2">
        <v>12100</v>
      </c>
      <c r="H113" s="2">
        <f t="shared" si="9"/>
        <v>2559.1499999999996</v>
      </c>
      <c r="I113" s="29">
        <v>42.3</v>
      </c>
      <c r="J113" s="8">
        <f t="shared" si="11"/>
        <v>511.82999999999993</v>
      </c>
      <c r="K113" s="2">
        <v>5</v>
      </c>
      <c r="L113" s="21"/>
      <c r="M113" s="14"/>
      <c r="N113" s="26"/>
      <c r="O113" s="24"/>
      <c r="P113" s="16"/>
      <c r="Q113" s="2">
        <f t="shared" si="10"/>
        <v>5</v>
      </c>
    </row>
    <row r="114" spans="1:17" x14ac:dyDescent="0.3">
      <c r="A114" s="2" t="s">
        <v>146</v>
      </c>
      <c r="B114" s="2" t="s">
        <v>30</v>
      </c>
      <c r="C114" s="2">
        <v>9</v>
      </c>
      <c r="D114" s="2">
        <v>12100</v>
      </c>
      <c r="E114" s="2" t="s">
        <v>64</v>
      </c>
      <c r="F114" s="5" t="s">
        <v>91</v>
      </c>
      <c r="H114" s="2">
        <f t="shared" si="9"/>
        <v>4606.4699999999993</v>
      </c>
      <c r="I114" s="29">
        <v>42.3</v>
      </c>
      <c r="J114" s="8">
        <f t="shared" si="11"/>
        <v>511.82999999999993</v>
      </c>
      <c r="K114" s="2">
        <v>7</v>
      </c>
      <c r="L114" s="21"/>
      <c r="M114" s="14"/>
      <c r="N114" s="26"/>
      <c r="O114" s="24"/>
      <c r="P114" s="16"/>
      <c r="Q114" s="2">
        <f t="shared" si="10"/>
        <v>9</v>
      </c>
    </row>
    <row r="115" spans="1:17" x14ac:dyDescent="0.3">
      <c r="A115" s="2" t="s">
        <v>146</v>
      </c>
      <c r="B115" s="2" t="s">
        <v>30</v>
      </c>
      <c r="C115" s="2">
        <v>37</v>
      </c>
      <c r="D115" s="2">
        <v>12100</v>
      </c>
      <c r="E115" s="2" t="s">
        <v>64</v>
      </c>
      <c r="F115" s="5" t="s">
        <v>95</v>
      </c>
      <c r="H115" s="2">
        <f t="shared" si="9"/>
        <v>18937.71</v>
      </c>
      <c r="I115" s="29">
        <v>42.3</v>
      </c>
      <c r="J115" s="8">
        <f t="shared" si="11"/>
        <v>511.82999999999993</v>
      </c>
      <c r="K115" s="2">
        <v>7</v>
      </c>
      <c r="L115" s="21"/>
      <c r="M115" s="14"/>
      <c r="N115" s="26"/>
      <c r="O115" s="24"/>
      <c r="P115" s="16"/>
      <c r="Q115" s="2">
        <f t="shared" si="10"/>
        <v>37</v>
      </c>
    </row>
    <row r="116" spans="1:17" x14ac:dyDescent="0.3">
      <c r="A116" s="2" t="s">
        <v>146</v>
      </c>
      <c r="B116" s="2" t="s">
        <v>30</v>
      </c>
      <c r="C116" s="2">
        <v>4</v>
      </c>
      <c r="D116" s="2">
        <v>5500</v>
      </c>
      <c r="H116" s="2">
        <f t="shared" si="9"/>
        <v>930.59999999999991</v>
      </c>
      <c r="I116" s="29">
        <v>42.3</v>
      </c>
      <c r="J116" s="8">
        <f t="shared" si="11"/>
        <v>232.64999999999998</v>
      </c>
      <c r="K116" s="2">
        <v>9</v>
      </c>
      <c r="L116" s="21"/>
      <c r="M116" s="14"/>
      <c r="N116" s="26"/>
      <c r="O116" s="24"/>
      <c r="P116" s="16"/>
      <c r="Q116" s="2">
        <f t="shared" si="10"/>
        <v>4</v>
      </c>
    </row>
    <row r="117" spans="1:17" x14ac:dyDescent="0.3">
      <c r="A117" s="2" t="s">
        <v>146</v>
      </c>
      <c r="B117" s="2" t="s">
        <v>30</v>
      </c>
      <c r="C117" s="2">
        <v>1</v>
      </c>
      <c r="D117" s="2">
        <v>1800</v>
      </c>
      <c r="H117" s="2">
        <f t="shared" si="9"/>
        <v>76.14</v>
      </c>
      <c r="I117" s="29">
        <v>42.3</v>
      </c>
      <c r="J117" s="8">
        <f t="shared" si="11"/>
        <v>76.14</v>
      </c>
      <c r="K117" s="2">
        <v>9</v>
      </c>
      <c r="L117" s="21"/>
      <c r="M117" s="14"/>
      <c r="N117" s="26"/>
      <c r="O117" s="24"/>
      <c r="P117" s="16"/>
      <c r="Q117" s="2">
        <f t="shared" si="10"/>
        <v>1</v>
      </c>
    </row>
    <row r="118" spans="1:17" x14ac:dyDescent="0.3">
      <c r="A118" s="2" t="s">
        <v>146</v>
      </c>
      <c r="B118" s="2" t="s">
        <v>30</v>
      </c>
      <c r="C118" s="2">
        <v>1</v>
      </c>
      <c r="D118" s="2">
        <v>2700</v>
      </c>
      <c r="H118" s="2">
        <f t="shared" si="9"/>
        <v>114.20999999999998</v>
      </c>
      <c r="I118" s="29">
        <v>42.3</v>
      </c>
      <c r="J118" s="8">
        <f t="shared" si="11"/>
        <v>114.20999999999998</v>
      </c>
      <c r="K118" s="2">
        <v>9</v>
      </c>
      <c r="L118" s="21"/>
      <c r="M118" s="14"/>
      <c r="N118" s="26"/>
      <c r="O118" s="24"/>
      <c r="P118" s="16"/>
      <c r="Q118" s="2">
        <f t="shared" si="10"/>
        <v>1</v>
      </c>
    </row>
    <row r="119" spans="1:17" x14ac:dyDescent="0.3">
      <c r="A119" s="2" t="s">
        <v>146</v>
      </c>
      <c r="B119" s="2" t="s">
        <v>41</v>
      </c>
      <c r="C119" s="2">
        <v>9</v>
      </c>
      <c r="D119" s="2">
        <v>12100</v>
      </c>
      <c r="E119" s="2" t="s">
        <v>20</v>
      </c>
      <c r="F119" s="4">
        <v>155670</v>
      </c>
      <c r="H119" s="2">
        <f t="shared" si="9"/>
        <v>5499.45</v>
      </c>
      <c r="I119" s="29">
        <v>50.5</v>
      </c>
      <c r="J119" s="8">
        <f t="shared" si="11"/>
        <v>611.04999999999995</v>
      </c>
      <c r="K119" s="2">
        <v>2</v>
      </c>
      <c r="L119" s="21"/>
      <c r="M119" s="14"/>
      <c r="N119" s="26"/>
      <c r="O119" s="24"/>
      <c r="P119" s="16"/>
      <c r="Q119" s="2">
        <f t="shared" si="10"/>
        <v>9</v>
      </c>
    </row>
    <row r="120" spans="1:17" x14ac:dyDescent="0.3">
      <c r="A120" s="2" t="s">
        <v>146</v>
      </c>
      <c r="B120" s="2" t="s">
        <v>41</v>
      </c>
      <c r="C120" s="2">
        <v>2</v>
      </c>
      <c r="D120" s="2">
        <v>12100</v>
      </c>
      <c r="H120" s="2">
        <f t="shared" si="9"/>
        <v>1222.0999999999999</v>
      </c>
      <c r="I120" s="29">
        <v>50.5</v>
      </c>
      <c r="J120" s="8">
        <f t="shared" si="11"/>
        <v>611.04999999999995</v>
      </c>
      <c r="K120" s="2">
        <v>2</v>
      </c>
      <c r="L120" s="21"/>
      <c r="M120" s="14"/>
      <c r="N120" s="26"/>
      <c r="O120" s="24"/>
      <c r="P120" s="16"/>
      <c r="Q120" s="2">
        <f t="shared" si="10"/>
        <v>2</v>
      </c>
    </row>
    <row r="121" spans="1:17" x14ac:dyDescent="0.3">
      <c r="A121" s="2" t="s">
        <v>146</v>
      </c>
      <c r="B121" s="2" t="s">
        <v>41</v>
      </c>
      <c r="C121" s="2">
        <v>1</v>
      </c>
      <c r="D121" s="2">
        <v>6400</v>
      </c>
      <c r="H121" s="2">
        <f t="shared" si="9"/>
        <v>323.2</v>
      </c>
      <c r="I121" s="29">
        <v>50.5</v>
      </c>
      <c r="J121" s="8">
        <f t="shared" si="11"/>
        <v>323.2</v>
      </c>
      <c r="K121" s="2">
        <v>6</v>
      </c>
      <c r="L121" s="21"/>
      <c r="M121" s="14"/>
      <c r="N121" s="26"/>
      <c r="O121" s="24"/>
      <c r="P121" s="16"/>
      <c r="Q121" s="2">
        <f t="shared" si="10"/>
        <v>1</v>
      </c>
    </row>
    <row r="122" spans="1:17" x14ac:dyDescent="0.3">
      <c r="A122" s="2" t="s">
        <v>146</v>
      </c>
      <c r="B122" s="2" t="s">
        <v>41</v>
      </c>
      <c r="C122" s="2">
        <v>2</v>
      </c>
      <c r="D122" s="2">
        <v>5300</v>
      </c>
      <c r="H122" s="2">
        <f t="shared" si="9"/>
        <v>535.29999999999995</v>
      </c>
      <c r="I122" s="29">
        <v>50.5</v>
      </c>
      <c r="J122" s="8">
        <f t="shared" si="11"/>
        <v>267.64999999999998</v>
      </c>
      <c r="K122" s="2">
        <v>9</v>
      </c>
      <c r="L122" s="21"/>
      <c r="M122" s="14"/>
      <c r="N122" s="26"/>
      <c r="O122" s="24"/>
      <c r="P122" s="16"/>
      <c r="Q122" s="2">
        <f t="shared" si="10"/>
        <v>2</v>
      </c>
    </row>
    <row r="123" spans="1:17" x14ac:dyDescent="0.3">
      <c r="A123" s="2" t="s">
        <v>146</v>
      </c>
      <c r="B123" s="2" t="s">
        <v>41</v>
      </c>
      <c r="C123" s="2">
        <v>2</v>
      </c>
      <c r="D123" s="2">
        <v>3500</v>
      </c>
      <c r="H123" s="2">
        <f t="shared" si="9"/>
        <v>353.5</v>
      </c>
      <c r="I123" s="29">
        <v>50.5</v>
      </c>
      <c r="J123" s="8">
        <f t="shared" si="11"/>
        <v>176.75</v>
      </c>
      <c r="K123" s="2">
        <v>10</v>
      </c>
      <c r="L123" s="21"/>
      <c r="M123" s="14"/>
      <c r="N123" s="26"/>
      <c r="O123" s="24"/>
      <c r="P123" s="16"/>
      <c r="Q123" s="2">
        <f t="shared" si="10"/>
        <v>2</v>
      </c>
    </row>
    <row r="124" spans="1:17" x14ac:dyDescent="0.3">
      <c r="A124" s="2" t="s">
        <v>146</v>
      </c>
      <c r="B124" s="2" t="s">
        <v>41</v>
      </c>
      <c r="C124" s="2">
        <v>4</v>
      </c>
      <c r="D124" s="2">
        <v>3100</v>
      </c>
      <c r="H124" s="2">
        <f t="shared" si="9"/>
        <v>626.20000000000005</v>
      </c>
      <c r="I124" s="29">
        <v>50.5</v>
      </c>
      <c r="J124" s="8">
        <f t="shared" si="11"/>
        <v>156.55000000000001</v>
      </c>
      <c r="K124" s="2">
        <v>10</v>
      </c>
      <c r="L124" s="21"/>
      <c r="M124" s="14"/>
      <c r="N124" s="26"/>
      <c r="O124" s="24"/>
      <c r="P124" s="16"/>
      <c r="Q124" s="2">
        <f t="shared" si="10"/>
        <v>4</v>
      </c>
    </row>
    <row r="125" spans="1:17" x14ac:dyDescent="0.3">
      <c r="A125" s="2" t="s">
        <v>146</v>
      </c>
      <c r="B125" s="2" t="s">
        <v>41</v>
      </c>
      <c r="C125" s="2">
        <v>2</v>
      </c>
      <c r="D125" s="2">
        <v>2500</v>
      </c>
      <c r="H125" s="2">
        <f t="shared" si="9"/>
        <v>252.5</v>
      </c>
      <c r="I125" s="29">
        <v>50.5</v>
      </c>
      <c r="J125" s="8">
        <f t="shared" si="11"/>
        <v>126.25</v>
      </c>
      <c r="K125" s="2">
        <v>10</v>
      </c>
      <c r="L125" s="21"/>
      <c r="M125" s="14"/>
      <c r="N125" s="26"/>
      <c r="O125" s="24"/>
      <c r="P125" s="16"/>
      <c r="Q125" s="2">
        <f t="shared" si="10"/>
        <v>2</v>
      </c>
    </row>
    <row r="126" spans="1:17" x14ac:dyDescent="0.3">
      <c r="A126" s="2" t="s">
        <v>146</v>
      </c>
      <c r="B126" s="2" t="s">
        <v>41</v>
      </c>
      <c r="C126" s="2">
        <v>3</v>
      </c>
      <c r="D126" s="2">
        <v>1700</v>
      </c>
      <c r="H126" s="2">
        <f t="shared" si="9"/>
        <v>257.54999999999995</v>
      </c>
      <c r="I126" s="29">
        <v>50.5</v>
      </c>
      <c r="J126" s="8">
        <f t="shared" si="11"/>
        <v>85.85</v>
      </c>
      <c r="K126" s="2">
        <v>10</v>
      </c>
      <c r="L126" s="21"/>
      <c r="M126" s="14"/>
      <c r="N126" s="26"/>
      <c r="O126" s="24"/>
      <c r="P126" s="16"/>
      <c r="Q126" s="2">
        <f t="shared" si="10"/>
        <v>3</v>
      </c>
    </row>
    <row r="127" spans="1:17" x14ac:dyDescent="0.3">
      <c r="A127" s="2" t="s">
        <v>146</v>
      </c>
      <c r="B127" s="2" t="s">
        <v>9</v>
      </c>
      <c r="C127" s="2">
        <v>2</v>
      </c>
      <c r="D127" s="2">
        <v>12100</v>
      </c>
      <c r="E127" s="2" t="s">
        <v>20</v>
      </c>
      <c r="F127" s="4" t="s">
        <v>21</v>
      </c>
      <c r="H127" s="2">
        <f t="shared" si="9"/>
        <v>1459.26</v>
      </c>
      <c r="I127" s="29">
        <v>60.3</v>
      </c>
      <c r="J127" s="8">
        <f t="shared" si="11"/>
        <v>729.63</v>
      </c>
      <c r="K127" s="2">
        <v>1</v>
      </c>
      <c r="L127" s="21"/>
      <c r="M127" s="14"/>
      <c r="N127" s="26"/>
      <c r="O127" s="24"/>
      <c r="P127" s="16"/>
      <c r="Q127" s="2">
        <f t="shared" si="10"/>
        <v>2</v>
      </c>
    </row>
    <row r="128" spans="1:17" x14ac:dyDescent="0.3">
      <c r="A128" s="2" t="s">
        <v>146</v>
      </c>
      <c r="B128" s="2" t="s">
        <v>9</v>
      </c>
      <c r="C128" s="2">
        <v>1</v>
      </c>
      <c r="D128" s="2">
        <v>12100</v>
      </c>
      <c r="E128" s="2" t="s">
        <v>20</v>
      </c>
      <c r="F128" s="4">
        <v>156159</v>
      </c>
      <c r="H128" s="2">
        <f t="shared" si="9"/>
        <v>729.63</v>
      </c>
      <c r="I128" s="29">
        <v>60.3</v>
      </c>
      <c r="J128" s="8">
        <f t="shared" si="11"/>
        <v>729.63</v>
      </c>
      <c r="K128" s="2">
        <v>1</v>
      </c>
      <c r="L128" s="21"/>
      <c r="M128" s="14"/>
      <c r="N128" s="26"/>
      <c r="O128" s="24"/>
      <c r="P128" s="16"/>
      <c r="Q128" s="2">
        <f t="shared" si="10"/>
        <v>1</v>
      </c>
    </row>
    <row r="129" spans="1:17" x14ac:dyDescent="0.3">
      <c r="A129" s="2" t="s">
        <v>146</v>
      </c>
      <c r="B129" s="2" t="s">
        <v>9</v>
      </c>
      <c r="C129" s="2">
        <v>3</v>
      </c>
      <c r="D129" s="2">
        <v>12100</v>
      </c>
      <c r="H129" s="2">
        <f t="shared" si="9"/>
        <v>2188.89</v>
      </c>
      <c r="I129" s="29">
        <v>60.3</v>
      </c>
      <c r="J129" s="8">
        <f t="shared" si="11"/>
        <v>729.63</v>
      </c>
      <c r="K129" s="2">
        <v>3</v>
      </c>
      <c r="L129" s="21"/>
      <c r="M129" s="14"/>
      <c r="N129" s="26"/>
      <c r="O129" s="24"/>
      <c r="P129" s="16"/>
      <c r="Q129" s="2">
        <f t="shared" si="10"/>
        <v>3</v>
      </c>
    </row>
    <row r="130" spans="1:17" x14ac:dyDescent="0.3">
      <c r="A130" s="2" t="s">
        <v>146</v>
      </c>
      <c r="B130" s="2" t="s">
        <v>9</v>
      </c>
      <c r="C130" s="2">
        <v>2</v>
      </c>
      <c r="D130" s="2">
        <v>12100</v>
      </c>
      <c r="H130" s="2">
        <f t="shared" si="9"/>
        <v>1459.26</v>
      </c>
      <c r="I130" s="29">
        <v>60.3</v>
      </c>
      <c r="J130" s="8">
        <f t="shared" si="11"/>
        <v>729.63</v>
      </c>
      <c r="K130" s="2">
        <v>3</v>
      </c>
      <c r="L130" s="21"/>
      <c r="M130" s="14"/>
      <c r="N130" s="26"/>
      <c r="O130" s="24"/>
      <c r="P130" s="16"/>
      <c r="Q130" s="2">
        <f t="shared" si="10"/>
        <v>2</v>
      </c>
    </row>
    <row r="131" spans="1:17" x14ac:dyDescent="0.3">
      <c r="A131" s="2" t="s">
        <v>146</v>
      </c>
      <c r="B131" s="2" t="s">
        <v>9</v>
      </c>
      <c r="C131" s="2">
        <v>1</v>
      </c>
      <c r="D131" s="2">
        <v>1400</v>
      </c>
      <c r="H131" s="2">
        <f t="shared" ref="H131:H194" si="12">+J131*C131</f>
        <v>84.42</v>
      </c>
      <c r="I131" s="29">
        <v>60.3</v>
      </c>
      <c r="J131" s="8">
        <f t="shared" si="11"/>
        <v>84.42</v>
      </c>
      <c r="K131" s="2">
        <v>8</v>
      </c>
      <c r="L131" s="21"/>
      <c r="M131" s="14"/>
      <c r="N131" s="26"/>
      <c r="O131" s="24"/>
      <c r="P131" s="16"/>
      <c r="Q131" s="2">
        <f t="shared" si="10"/>
        <v>1</v>
      </c>
    </row>
    <row r="132" spans="1:17" x14ac:dyDescent="0.3">
      <c r="A132" s="2" t="s">
        <v>146</v>
      </c>
      <c r="B132" s="2" t="s">
        <v>9</v>
      </c>
      <c r="C132" s="2">
        <v>1</v>
      </c>
      <c r="D132" s="2">
        <v>4100</v>
      </c>
      <c r="H132" s="2">
        <f t="shared" si="12"/>
        <v>247.23</v>
      </c>
      <c r="I132" s="29">
        <v>60.3</v>
      </c>
      <c r="J132" s="8">
        <f t="shared" si="11"/>
        <v>247.23</v>
      </c>
      <c r="K132" s="2">
        <v>9</v>
      </c>
      <c r="L132" s="21"/>
      <c r="M132" s="14"/>
      <c r="N132" s="26"/>
      <c r="O132" s="24"/>
      <c r="P132" s="16"/>
      <c r="Q132" s="2">
        <f t="shared" si="10"/>
        <v>1</v>
      </c>
    </row>
    <row r="133" spans="1:17" x14ac:dyDescent="0.3">
      <c r="A133" s="2" t="s">
        <v>146</v>
      </c>
      <c r="B133" s="2" t="s">
        <v>9</v>
      </c>
      <c r="C133" s="2">
        <v>1</v>
      </c>
      <c r="D133" s="2">
        <v>4000</v>
      </c>
      <c r="H133" s="2">
        <f t="shared" si="12"/>
        <v>241.2</v>
      </c>
      <c r="I133" s="29">
        <v>60.3</v>
      </c>
      <c r="J133" s="8">
        <f t="shared" si="11"/>
        <v>241.2</v>
      </c>
      <c r="K133" s="2">
        <v>9</v>
      </c>
      <c r="L133" s="21"/>
      <c r="M133" s="14"/>
      <c r="N133" s="26"/>
      <c r="O133" s="24"/>
      <c r="P133" s="16"/>
      <c r="Q133" s="2">
        <f t="shared" si="10"/>
        <v>1</v>
      </c>
    </row>
    <row r="134" spans="1:17" x14ac:dyDescent="0.3">
      <c r="A134" s="2" t="s">
        <v>146</v>
      </c>
      <c r="B134" s="2" t="s">
        <v>9</v>
      </c>
      <c r="C134" s="2">
        <v>1</v>
      </c>
      <c r="D134" s="2">
        <v>2650</v>
      </c>
      <c r="H134" s="2">
        <f t="shared" si="12"/>
        <v>159.79499999999999</v>
      </c>
      <c r="I134" s="29">
        <v>60.3</v>
      </c>
      <c r="J134" s="8">
        <f t="shared" si="11"/>
        <v>159.79499999999999</v>
      </c>
      <c r="K134" s="2">
        <v>9</v>
      </c>
      <c r="L134" s="21"/>
      <c r="M134" s="14"/>
      <c r="N134" s="26"/>
      <c r="O134" s="24"/>
      <c r="P134" s="16"/>
      <c r="Q134" s="2">
        <f t="shared" si="10"/>
        <v>1</v>
      </c>
    </row>
    <row r="135" spans="1:17" x14ac:dyDescent="0.3">
      <c r="A135" s="2" t="s">
        <v>146</v>
      </c>
      <c r="B135" s="2" t="s">
        <v>9</v>
      </c>
      <c r="C135" s="2">
        <v>4</v>
      </c>
      <c r="D135" s="2">
        <v>2000</v>
      </c>
      <c r="H135" s="2">
        <f t="shared" si="12"/>
        <v>482.4</v>
      </c>
      <c r="I135" s="29">
        <v>60.3</v>
      </c>
      <c r="J135" s="8">
        <f t="shared" si="11"/>
        <v>120.6</v>
      </c>
      <c r="K135" s="2">
        <v>9</v>
      </c>
      <c r="L135" s="21"/>
      <c r="M135" s="14"/>
      <c r="N135" s="26"/>
      <c r="O135" s="24"/>
      <c r="P135" s="16"/>
      <c r="Q135" s="2">
        <f t="shared" si="10"/>
        <v>4</v>
      </c>
    </row>
    <row r="136" spans="1:17" x14ac:dyDescent="0.3">
      <c r="A136" s="2" t="s">
        <v>146</v>
      </c>
      <c r="B136" s="2" t="s">
        <v>9</v>
      </c>
      <c r="C136" s="2">
        <v>2</v>
      </c>
      <c r="D136" s="2">
        <v>2100</v>
      </c>
      <c r="H136" s="2">
        <f t="shared" si="12"/>
        <v>253.26</v>
      </c>
      <c r="I136" s="29">
        <v>60.3</v>
      </c>
      <c r="J136" s="8">
        <f t="shared" si="11"/>
        <v>126.63</v>
      </c>
      <c r="K136" s="2">
        <v>9</v>
      </c>
      <c r="L136" s="21"/>
      <c r="M136" s="14"/>
      <c r="N136" s="26"/>
      <c r="O136" s="24"/>
      <c r="P136" s="16"/>
      <c r="Q136" s="2">
        <f t="shared" si="10"/>
        <v>2</v>
      </c>
    </row>
    <row r="137" spans="1:17" x14ac:dyDescent="0.3">
      <c r="A137" s="2" t="s">
        <v>146</v>
      </c>
      <c r="B137" s="2" t="s">
        <v>9</v>
      </c>
      <c r="C137" s="2">
        <v>3</v>
      </c>
      <c r="D137" s="2">
        <v>2600</v>
      </c>
      <c r="H137" s="2">
        <f t="shared" si="12"/>
        <v>470.34000000000003</v>
      </c>
      <c r="I137" s="29">
        <v>60.3</v>
      </c>
      <c r="J137" s="8">
        <f t="shared" si="11"/>
        <v>156.78</v>
      </c>
      <c r="K137" s="2">
        <v>10</v>
      </c>
      <c r="L137" s="21"/>
      <c r="M137" s="14"/>
      <c r="N137" s="26"/>
      <c r="O137" s="24"/>
      <c r="P137" s="16"/>
      <c r="Q137" s="2">
        <f t="shared" si="10"/>
        <v>3</v>
      </c>
    </row>
    <row r="138" spans="1:17" x14ac:dyDescent="0.3">
      <c r="A138" s="2" t="s">
        <v>146</v>
      </c>
      <c r="B138" s="2" t="s">
        <v>9</v>
      </c>
      <c r="C138" s="2">
        <v>6</v>
      </c>
      <c r="D138" s="2">
        <v>1900</v>
      </c>
      <c r="H138" s="2">
        <f t="shared" si="12"/>
        <v>687.42</v>
      </c>
      <c r="I138" s="29">
        <v>60.3</v>
      </c>
      <c r="J138" s="8">
        <f t="shared" si="11"/>
        <v>114.57</v>
      </c>
      <c r="K138" s="2">
        <v>10</v>
      </c>
      <c r="L138" s="21"/>
      <c r="M138" s="14"/>
      <c r="N138" s="26"/>
      <c r="O138" s="24"/>
      <c r="P138" s="16"/>
      <c r="Q138" s="2">
        <f t="shared" si="10"/>
        <v>6</v>
      </c>
    </row>
    <row r="139" spans="1:17" x14ac:dyDescent="0.3">
      <c r="A139" s="2" t="s">
        <v>146</v>
      </c>
      <c r="B139" s="2" t="s">
        <v>9</v>
      </c>
      <c r="C139" s="2">
        <v>9</v>
      </c>
      <c r="D139" s="2">
        <v>2100</v>
      </c>
      <c r="H139" s="2">
        <f t="shared" si="12"/>
        <v>1139.67</v>
      </c>
      <c r="I139" s="29">
        <v>60.3</v>
      </c>
      <c r="J139" s="8">
        <f t="shared" si="11"/>
        <v>126.63</v>
      </c>
      <c r="K139" s="2">
        <v>10</v>
      </c>
      <c r="L139" s="21"/>
      <c r="M139" s="14"/>
      <c r="N139" s="26"/>
      <c r="O139" s="24"/>
      <c r="P139" s="16"/>
      <c r="Q139" s="2">
        <f t="shared" si="10"/>
        <v>9</v>
      </c>
    </row>
    <row r="140" spans="1:17" x14ac:dyDescent="0.3">
      <c r="A140" s="2" t="s">
        <v>146</v>
      </c>
      <c r="B140" s="2" t="s">
        <v>9</v>
      </c>
      <c r="C140" s="2">
        <v>6</v>
      </c>
      <c r="D140" s="2">
        <v>2400</v>
      </c>
      <c r="H140" s="2">
        <f t="shared" si="12"/>
        <v>868.31999999999994</v>
      </c>
      <c r="I140" s="29">
        <v>60.3</v>
      </c>
      <c r="J140" s="8">
        <f t="shared" si="11"/>
        <v>144.72</v>
      </c>
      <c r="K140" s="2">
        <v>10</v>
      </c>
      <c r="L140" s="21"/>
      <c r="M140" s="14"/>
      <c r="N140" s="26"/>
      <c r="O140" s="24"/>
      <c r="P140" s="16"/>
      <c r="Q140" s="2">
        <f t="shared" si="10"/>
        <v>6</v>
      </c>
    </row>
    <row r="141" spans="1:17" x14ac:dyDescent="0.3">
      <c r="A141" s="2" t="s">
        <v>146</v>
      </c>
      <c r="B141" s="2" t="s">
        <v>99</v>
      </c>
      <c r="C141" s="2">
        <v>1</v>
      </c>
      <c r="D141" s="2">
        <v>7600</v>
      </c>
      <c r="E141" s="7" t="s">
        <v>100</v>
      </c>
      <c r="H141" s="2">
        <f t="shared" si="12"/>
        <v>518.32000000000005</v>
      </c>
      <c r="I141" s="29">
        <v>68.2</v>
      </c>
      <c r="J141" s="8">
        <f t="shared" si="11"/>
        <v>518.32000000000005</v>
      </c>
      <c r="K141" s="2">
        <v>9</v>
      </c>
      <c r="L141" s="21"/>
      <c r="M141" s="14"/>
      <c r="N141" s="26"/>
      <c r="O141" s="24"/>
      <c r="P141" s="16"/>
      <c r="Q141" s="2">
        <f t="shared" si="10"/>
        <v>1</v>
      </c>
    </row>
    <row r="142" spans="1:17" x14ac:dyDescent="0.3">
      <c r="A142" s="2" t="s">
        <v>146</v>
      </c>
      <c r="B142" s="2" t="s">
        <v>14</v>
      </c>
      <c r="C142" s="2">
        <v>6</v>
      </c>
      <c r="D142" s="2">
        <v>12100</v>
      </c>
      <c r="E142" s="2" t="s">
        <v>19</v>
      </c>
      <c r="F142" s="4" t="s">
        <v>15</v>
      </c>
      <c r="G142" s="2" t="s">
        <v>17</v>
      </c>
      <c r="H142" s="2">
        <f t="shared" si="12"/>
        <v>5546.6400000000012</v>
      </c>
      <c r="I142" s="29">
        <v>76.400000000000006</v>
      </c>
      <c r="J142" s="8">
        <f t="shared" si="11"/>
        <v>924.44000000000017</v>
      </c>
      <c r="K142" s="2">
        <v>1</v>
      </c>
      <c r="L142" s="21"/>
      <c r="M142" s="14"/>
      <c r="N142" s="26"/>
      <c r="O142" s="24"/>
      <c r="P142" s="16"/>
      <c r="Q142" s="2">
        <f t="shared" si="10"/>
        <v>6</v>
      </c>
    </row>
    <row r="143" spans="1:17" x14ac:dyDescent="0.3">
      <c r="A143" s="2" t="s">
        <v>146</v>
      </c>
      <c r="B143" s="2" t="s">
        <v>14</v>
      </c>
      <c r="C143" s="2">
        <v>6</v>
      </c>
      <c r="D143" s="2">
        <v>13400</v>
      </c>
      <c r="E143" s="2" t="s">
        <v>20</v>
      </c>
      <c r="F143" s="4">
        <v>158635</v>
      </c>
      <c r="H143" s="2">
        <f t="shared" si="12"/>
        <v>6142.56</v>
      </c>
      <c r="I143" s="29">
        <v>76.400000000000006</v>
      </c>
      <c r="J143" s="8">
        <f t="shared" si="11"/>
        <v>1023.7600000000001</v>
      </c>
      <c r="K143" s="2">
        <v>1</v>
      </c>
      <c r="L143" s="21"/>
      <c r="M143" s="14"/>
      <c r="N143" s="26"/>
      <c r="O143" s="24"/>
      <c r="P143" s="16"/>
      <c r="Q143" s="2">
        <f t="shared" si="10"/>
        <v>6</v>
      </c>
    </row>
    <row r="144" spans="1:17" x14ac:dyDescent="0.3">
      <c r="A144" s="2" t="s">
        <v>146</v>
      </c>
      <c r="B144" s="2" t="s">
        <v>14</v>
      </c>
      <c r="C144" s="2">
        <v>6</v>
      </c>
      <c r="D144" s="2">
        <v>13000</v>
      </c>
      <c r="E144" s="2" t="s">
        <v>20</v>
      </c>
      <c r="F144" s="4">
        <v>156891</v>
      </c>
      <c r="H144" s="2">
        <f t="shared" si="12"/>
        <v>5959.2000000000007</v>
      </c>
      <c r="I144" s="29">
        <v>76.400000000000006</v>
      </c>
      <c r="J144" s="8">
        <f t="shared" si="11"/>
        <v>993.20000000000016</v>
      </c>
      <c r="K144" s="2">
        <v>1</v>
      </c>
      <c r="L144" s="21"/>
      <c r="M144" s="14"/>
      <c r="N144" s="26"/>
      <c r="O144" s="24"/>
      <c r="P144" s="16"/>
      <c r="Q144" s="2">
        <f t="shared" si="10"/>
        <v>6</v>
      </c>
    </row>
    <row r="145" spans="1:17" x14ac:dyDescent="0.3">
      <c r="A145" s="2" t="s">
        <v>146</v>
      </c>
      <c r="B145" s="2" t="s">
        <v>14</v>
      </c>
      <c r="C145" s="2">
        <v>6</v>
      </c>
      <c r="D145" s="2">
        <v>10000</v>
      </c>
      <c r="E145" s="2" t="s">
        <v>20</v>
      </c>
      <c r="F145" s="4">
        <v>156891</v>
      </c>
      <c r="H145" s="2">
        <f t="shared" si="12"/>
        <v>4584</v>
      </c>
      <c r="I145" s="29">
        <v>76.400000000000006</v>
      </c>
      <c r="J145" s="8">
        <f t="shared" si="11"/>
        <v>764</v>
      </c>
      <c r="K145" s="2">
        <v>1</v>
      </c>
      <c r="L145" s="21"/>
      <c r="M145" s="14"/>
      <c r="N145" s="26"/>
      <c r="O145" s="24"/>
      <c r="P145" s="16"/>
      <c r="Q145" s="2">
        <f t="shared" si="10"/>
        <v>6</v>
      </c>
    </row>
    <row r="146" spans="1:17" x14ac:dyDescent="0.3">
      <c r="A146" s="2" t="s">
        <v>146</v>
      </c>
      <c r="B146" s="2" t="s">
        <v>14</v>
      </c>
      <c r="C146" s="2">
        <v>2</v>
      </c>
      <c r="D146" s="2">
        <v>1700</v>
      </c>
      <c r="H146" s="2">
        <f t="shared" si="12"/>
        <v>259.76000000000005</v>
      </c>
      <c r="I146" s="29">
        <v>76.400000000000006</v>
      </c>
      <c r="J146" s="8">
        <f t="shared" si="11"/>
        <v>129.88000000000002</v>
      </c>
      <c r="K146" s="2">
        <v>12</v>
      </c>
      <c r="L146" s="21"/>
      <c r="M146" s="14"/>
      <c r="N146" s="26"/>
      <c r="O146" s="24"/>
      <c r="P146" s="16"/>
      <c r="Q146" s="2">
        <f t="shared" si="10"/>
        <v>2</v>
      </c>
    </row>
    <row r="147" spans="1:17" x14ac:dyDescent="0.3">
      <c r="A147" s="2" t="s">
        <v>146</v>
      </c>
      <c r="B147" s="2" t="s">
        <v>66</v>
      </c>
      <c r="C147" s="2">
        <v>1</v>
      </c>
      <c r="D147" s="2">
        <v>12100</v>
      </c>
      <c r="H147" s="2">
        <f t="shared" si="12"/>
        <v>1068.43</v>
      </c>
      <c r="I147" s="29">
        <v>88.3</v>
      </c>
      <c r="J147" s="8">
        <f t="shared" si="11"/>
        <v>1068.43</v>
      </c>
      <c r="K147" s="2">
        <v>4</v>
      </c>
      <c r="L147" s="21"/>
      <c r="M147" s="14"/>
      <c r="N147" s="26"/>
      <c r="O147" s="24"/>
      <c r="P147" s="16"/>
      <c r="Q147" s="2">
        <f t="shared" si="10"/>
        <v>1</v>
      </c>
    </row>
    <row r="148" spans="1:17" x14ac:dyDescent="0.3">
      <c r="A148" s="2" t="s">
        <v>146</v>
      </c>
      <c r="B148" s="2" t="s">
        <v>66</v>
      </c>
      <c r="C148" s="2">
        <v>1</v>
      </c>
      <c r="D148" s="2">
        <v>2300</v>
      </c>
      <c r="H148" s="2">
        <f t="shared" si="12"/>
        <v>203.09</v>
      </c>
      <c r="I148" s="29">
        <v>88.3</v>
      </c>
      <c r="J148" s="8">
        <f t="shared" si="11"/>
        <v>203.09</v>
      </c>
      <c r="K148" s="2">
        <v>11</v>
      </c>
      <c r="L148" s="21"/>
      <c r="M148" s="14"/>
      <c r="N148" s="26"/>
      <c r="O148" s="24"/>
      <c r="P148" s="16"/>
      <c r="Q148" s="2">
        <f t="shared" si="10"/>
        <v>1</v>
      </c>
    </row>
    <row r="149" spans="1:17" x14ac:dyDescent="0.3">
      <c r="A149" s="2" t="s">
        <v>146</v>
      </c>
      <c r="B149" s="2" t="s">
        <v>66</v>
      </c>
      <c r="C149" s="2">
        <v>1</v>
      </c>
      <c r="D149" s="2">
        <v>4600</v>
      </c>
      <c r="H149" s="2">
        <f t="shared" si="12"/>
        <v>406.18</v>
      </c>
      <c r="I149" s="29">
        <v>88.3</v>
      </c>
      <c r="J149" s="8">
        <f t="shared" si="11"/>
        <v>406.18</v>
      </c>
      <c r="K149" s="2">
        <v>11</v>
      </c>
      <c r="L149" s="21"/>
      <c r="M149" s="14"/>
      <c r="N149" s="26"/>
      <c r="O149" s="24"/>
      <c r="P149" s="16"/>
      <c r="Q149" s="2">
        <f t="shared" ref="Q149:Q212" si="13">C149-M149+P149</f>
        <v>1</v>
      </c>
    </row>
    <row r="150" spans="1:17" x14ac:dyDescent="0.3">
      <c r="A150" s="2" t="s">
        <v>146</v>
      </c>
      <c r="B150" s="2" t="s">
        <v>66</v>
      </c>
      <c r="C150" s="2">
        <v>1</v>
      </c>
      <c r="D150" s="2">
        <v>1900</v>
      </c>
      <c r="H150" s="2">
        <f t="shared" si="12"/>
        <v>167.77</v>
      </c>
      <c r="I150" s="29">
        <v>88.3</v>
      </c>
      <c r="J150" s="8">
        <f t="shared" si="11"/>
        <v>167.77</v>
      </c>
      <c r="K150" s="2">
        <v>12</v>
      </c>
      <c r="L150" s="21"/>
      <c r="M150" s="14"/>
      <c r="N150" s="26"/>
      <c r="O150" s="24"/>
      <c r="P150" s="16"/>
      <c r="Q150" s="2">
        <f t="shared" si="13"/>
        <v>1</v>
      </c>
    </row>
    <row r="151" spans="1:17" x14ac:dyDescent="0.3">
      <c r="A151" s="2" t="s">
        <v>146</v>
      </c>
      <c r="B151" s="2" t="s">
        <v>66</v>
      </c>
      <c r="C151" s="2">
        <v>1</v>
      </c>
      <c r="D151" s="2">
        <v>2400</v>
      </c>
      <c r="H151" s="2">
        <f t="shared" si="12"/>
        <v>211.92</v>
      </c>
      <c r="I151" s="29">
        <v>88.3</v>
      </c>
      <c r="J151" s="8">
        <f t="shared" si="11"/>
        <v>211.92</v>
      </c>
      <c r="K151" s="2">
        <v>12</v>
      </c>
      <c r="L151" s="21"/>
      <c r="M151" s="14"/>
      <c r="N151" s="26"/>
      <c r="O151" s="24"/>
      <c r="P151" s="16"/>
      <c r="Q151" s="2">
        <f t="shared" si="13"/>
        <v>1</v>
      </c>
    </row>
    <row r="152" spans="1:17" x14ac:dyDescent="0.3">
      <c r="A152" s="2" t="s">
        <v>146</v>
      </c>
      <c r="B152" s="2" t="s">
        <v>66</v>
      </c>
      <c r="C152" s="2">
        <v>1</v>
      </c>
      <c r="D152" s="2">
        <v>2100</v>
      </c>
      <c r="H152" s="2">
        <f t="shared" si="12"/>
        <v>185.43</v>
      </c>
      <c r="I152" s="29">
        <v>88.3</v>
      </c>
      <c r="J152" s="8">
        <f t="shared" si="11"/>
        <v>185.43</v>
      </c>
      <c r="K152" s="2">
        <v>12</v>
      </c>
      <c r="L152" s="21"/>
      <c r="M152" s="14"/>
      <c r="N152" s="26"/>
      <c r="O152" s="24"/>
      <c r="P152" s="16"/>
      <c r="Q152" s="2">
        <f t="shared" si="13"/>
        <v>1</v>
      </c>
    </row>
    <row r="153" spans="1:17" x14ac:dyDescent="0.3">
      <c r="A153" s="2" t="s">
        <v>146</v>
      </c>
      <c r="B153" s="2" t="s">
        <v>66</v>
      </c>
      <c r="C153" s="2">
        <v>5</v>
      </c>
      <c r="D153" s="2">
        <v>1000</v>
      </c>
      <c r="H153" s="2">
        <f t="shared" si="12"/>
        <v>441.5</v>
      </c>
      <c r="I153" s="29">
        <v>88.3</v>
      </c>
      <c r="J153" s="8">
        <f t="shared" si="11"/>
        <v>88.3</v>
      </c>
      <c r="K153" s="2">
        <v>12</v>
      </c>
      <c r="L153" s="21"/>
      <c r="M153" s="14"/>
      <c r="N153" s="26"/>
      <c r="O153" s="24"/>
      <c r="P153" s="16"/>
      <c r="Q153" s="2">
        <f t="shared" si="13"/>
        <v>5</v>
      </c>
    </row>
    <row r="154" spans="1:17" x14ac:dyDescent="0.3">
      <c r="A154" s="2" t="s">
        <v>146</v>
      </c>
      <c r="B154" s="2" t="s">
        <v>66</v>
      </c>
      <c r="C154" s="2">
        <v>6</v>
      </c>
      <c r="D154" s="2">
        <v>1150</v>
      </c>
      <c r="H154" s="2">
        <f t="shared" si="12"/>
        <v>609.27</v>
      </c>
      <c r="I154" s="29">
        <v>88.3</v>
      </c>
      <c r="J154" s="8">
        <f t="shared" si="11"/>
        <v>101.545</v>
      </c>
      <c r="K154" s="2">
        <v>12</v>
      </c>
      <c r="L154" s="21"/>
      <c r="M154" s="14"/>
      <c r="N154" s="26"/>
      <c r="O154" s="24"/>
      <c r="P154" s="16"/>
      <c r="Q154" s="2">
        <f t="shared" si="13"/>
        <v>6</v>
      </c>
    </row>
    <row r="155" spans="1:17" x14ac:dyDescent="0.3">
      <c r="A155" s="2" t="s">
        <v>146</v>
      </c>
      <c r="B155" s="2" t="s">
        <v>66</v>
      </c>
      <c r="C155" s="2">
        <v>5</v>
      </c>
      <c r="D155" s="2">
        <v>1350</v>
      </c>
      <c r="E155" s="2" t="s">
        <v>33</v>
      </c>
      <c r="F155" s="4">
        <v>26481</v>
      </c>
      <c r="H155" s="2">
        <f t="shared" si="12"/>
        <v>596.02499999999998</v>
      </c>
      <c r="I155" s="29">
        <v>88.3</v>
      </c>
      <c r="J155" s="8">
        <f t="shared" si="11"/>
        <v>119.205</v>
      </c>
      <c r="K155" s="2">
        <v>12</v>
      </c>
      <c r="L155" s="21"/>
      <c r="M155" s="14"/>
      <c r="N155" s="26"/>
      <c r="O155" s="24"/>
      <c r="P155" s="16"/>
      <c r="Q155" s="2">
        <f t="shared" si="13"/>
        <v>5</v>
      </c>
    </row>
    <row r="156" spans="1:17" x14ac:dyDescent="0.3">
      <c r="A156" s="2" t="s">
        <v>146</v>
      </c>
      <c r="B156" s="2" t="s">
        <v>66</v>
      </c>
      <c r="C156" s="2">
        <v>3</v>
      </c>
      <c r="D156" s="2">
        <v>1950</v>
      </c>
      <c r="E156" s="2" t="s">
        <v>33</v>
      </c>
      <c r="F156" s="4">
        <v>26481</v>
      </c>
      <c r="H156" s="2">
        <f t="shared" si="12"/>
        <v>516.55500000000006</v>
      </c>
      <c r="I156" s="29">
        <v>88.3</v>
      </c>
      <c r="J156" s="8">
        <f t="shared" si="11"/>
        <v>172.185</v>
      </c>
      <c r="K156" s="2">
        <v>12</v>
      </c>
      <c r="L156" s="21"/>
      <c r="M156" s="14"/>
      <c r="N156" s="26"/>
      <c r="O156" s="24"/>
      <c r="P156" s="16"/>
      <c r="Q156" s="2">
        <f t="shared" si="13"/>
        <v>3</v>
      </c>
    </row>
    <row r="157" spans="1:17" x14ac:dyDescent="0.3">
      <c r="A157" s="2" t="s">
        <v>146</v>
      </c>
      <c r="B157" s="2" t="s">
        <v>66</v>
      </c>
      <c r="C157" s="2">
        <v>2</v>
      </c>
      <c r="D157" s="2">
        <v>1700</v>
      </c>
      <c r="E157" s="2" t="s">
        <v>33</v>
      </c>
      <c r="F157" s="4">
        <v>26481</v>
      </c>
      <c r="H157" s="2">
        <f t="shared" si="12"/>
        <v>300.22000000000003</v>
      </c>
      <c r="I157" s="29">
        <v>88.3</v>
      </c>
      <c r="J157" s="8">
        <f t="shared" si="11"/>
        <v>150.11000000000001</v>
      </c>
      <c r="K157" s="2">
        <v>12</v>
      </c>
      <c r="L157" s="21"/>
      <c r="M157" s="14"/>
      <c r="N157" s="26"/>
      <c r="O157" s="24"/>
      <c r="P157" s="16"/>
      <c r="Q157" s="2">
        <f t="shared" si="13"/>
        <v>2</v>
      </c>
    </row>
    <row r="158" spans="1:17" x14ac:dyDescent="0.3">
      <c r="A158" s="2" t="s">
        <v>146</v>
      </c>
      <c r="B158" s="2" t="s">
        <v>66</v>
      </c>
      <c r="C158" s="2">
        <v>1</v>
      </c>
      <c r="D158" s="2">
        <v>1200</v>
      </c>
      <c r="E158" s="2" t="s">
        <v>33</v>
      </c>
      <c r="F158" s="4">
        <v>26481</v>
      </c>
      <c r="H158" s="2">
        <f t="shared" si="12"/>
        <v>105.96</v>
      </c>
      <c r="I158" s="29">
        <v>88.3</v>
      </c>
      <c r="J158" s="8">
        <f t="shared" si="11"/>
        <v>105.96</v>
      </c>
      <c r="K158" s="2">
        <v>12</v>
      </c>
      <c r="L158" s="21"/>
      <c r="M158" s="14"/>
      <c r="N158" s="26"/>
      <c r="O158" s="24"/>
      <c r="P158" s="16"/>
      <c r="Q158" s="2">
        <f t="shared" si="13"/>
        <v>1</v>
      </c>
    </row>
    <row r="159" spans="1:17" x14ac:dyDescent="0.3">
      <c r="A159" s="2" t="s">
        <v>146</v>
      </c>
      <c r="B159" s="2" t="s">
        <v>66</v>
      </c>
      <c r="C159" s="2">
        <v>9</v>
      </c>
      <c r="D159" s="2">
        <v>1600</v>
      </c>
      <c r="E159" s="2" t="s">
        <v>33</v>
      </c>
      <c r="F159" s="4">
        <v>26481</v>
      </c>
      <c r="H159" s="2">
        <f t="shared" si="12"/>
        <v>1271.52</v>
      </c>
      <c r="I159" s="29">
        <v>88.3</v>
      </c>
      <c r="J159" s="8">
        <f t="shared" si="11"/>
        <v>141.28</v>
      </c>
      <c r="K159" s="2">
        <v>12</v>
      </c>
      <c r="L159" s="21"/>
      <c r="M159" s="14"/>
      <c r="N159" s="26"/>
      <c r="O159" s="24"/>
      <c r="P159" s="16"/>
      <c r="Q159" s="2">
        <f t="shared" si="13"/>
        <v>9</v>
      </c>
    </row>
    <row r="160" spans="1:17" x14ac:dyDescent="0.3">
      <c r="A160" s="2" t="s">
        <v>146</v>
      </c>
      <c r="B160" s="2" t="s">
        <v>66</v>
      </c>
      <c r="C160" s="2">
        <v>3</v>
      </c>
      <c r="D160" s="2">
        <v>2100</v>
      </c>
      <c r="E160" s="2" t="s">
        <v>33</v>
      </c>
      <c r="F160" s="4">
        <v>67334</v>
      </c>
      <c r="H160" s="2">
        <f t="shared" si="12"/>
        <v>556.29</v>
      </c>
      <c r="I160" s="29">
        <v>88.3</v>
      </c>
      <c r="J160" s="8">
        <f t="shared" si="11"/>
        <v>185.43</v>
      </c>
      <c r="K160" s="2">
        <v>12</v>
      </c>
      <c r="L160" s="21"/>
      <c r="M160" s="14"/>
      <c r="N160" s="26"/>
      <c r="O160" s="24"/>
      <c r="P160" s="16"/>
      <c r="Q160" s="2">
        <f t="shared" si="13"/>
        <v>3</v>
      </c>
    </row>
    <row r="161" spans="1:17" x14ac:dyDescent="0.3">
      <c r="A161" s="2" t="s">
        <v>146</v>
      </c>
      <c r="B161" s="2" t="s">
        <v>66</v>
      </c>
      <c r="C161" s="2">
        <v>4</v>
      </c>
      <c r="D161" s="2">
        <v>4200</v>
      </c>
      <c r="E161" s="2" t="s">
        <v>33</v>
      </c>
      <c r="F161" s="4">
        <v>81698</v>
      </c>
      <c r="H161" s="2">
        <f t="shared" si="12"/>
        <v>1483.44</v>
      </c>
      <c r="I161" s="29">
        <v>88.3</v>
      </c>
      <c r="J161" s="8">
        <f t="shared" si="11"/>
        <v>370.86</v>
      </c>
      <c r="K161" s="2">
        <v>12</v>
      </c>
      <c r="L161" s="21"/>
      <c r="M161" s="14"/>
      <c r="N161" s="26"/>
      <c r="O161" s="24"/>
      <c r="P161" s="16"/>
      <c r="Q161" s="2">
        <f t="shared" si="13"/>
        <v>4</v>
      </c>
    </row>
    <row r="162" spans="1:17" x14ac:dyDescent="0.3">
      <c r="A162" s="2" t="s">
        <v>146</v>
      </c>
      <c r="B162" s="2" t="s">
        <v>40</v>
      </c>
      <c r="C162" s="2">
        <v>1</v>
      </c>
      <c r="D162" s="2">
        <v>13200</v>
      </c>
      <c r="E162" s="2" t="s">
        <v>13</v>
      </c>
      <c r="F162" s="4">
        <v>20074</v>
      </c>
      <c r="H162" s="2">
        <f t="shared" si="12"/>
        <v>1288.32</v>
      </c>
      <c r="I162" s="29">
        <v>97.6</v>
      </c>
      <c r="J162" s="8">
        <f t="shared" si="11"/>
        <v>1288.32</v>
      </c>
      <c r="K162" s="2">
        <v>2</v>
      </c>
      <c r="L162" s="21"/>
      <c r="M162" s="14"/>
      <c r="N162" s="26"/>
      <c r="O162" s="24"/>
      <c r="P162" s="16"/>
      <c r="Q162" s="2">
        <f t="shared" si="13"/>
        <v>1</v>
      </c>
    </row>
    <row r="163" spans="1:17" x14ac:dyDescent="0.3">
      <c r="A163" s="2" t="s">
        <v>146</v>
      </c>
      <c r="B163" s="2" t="s">
        <v>40</v>
      </c>
      <c r="C163" s="2">
        <v>1</v>
      </c>
      <c r="D163" s="2">
        <v>7700</v>
      </c>
      <c r="E163" s="2" t="s">
        <v>13</v>
      </c>
      <c r="F163" s="4">
        <v>20074</v>
      </c>
      <c r="H163" s="2">
        <f t="shared" si="12"/>
        <v>751.52</v>
      </c>
      <c r="I163" s="29">
        <v>97.6</v>
      </c>
      <c r="J163" s="8">
        <f t="shared" si="11"/>
        <v>751.52</v>
      </c>
      <c r="K163" s="2">
        <v>2</v>
      </c>
      <c r="L163" s="21"/>
      <c r="M163" s="14"/>
      <c r="N163" s="26"/>
      <c r="O163" s="24"/>
      <c r="P163" s="16"/>
      <c r="Q163" s="2">
        <f t="shared" si="13"/>
        <v>1</v>
      </c>
    </row>
    <row r="164" spans="1:17" x14ac:dyDescent="0.3">
      <c r="A164" s="2" t="s">
        <v>146</v>
      </c>
      <c r="B164" s="2" t="s">
        <v>40</v>
      </c>
      <c r="C164" s="2">
        <v>1</v>
      </c>
      <c r="D164" s="2">
        <v>1900</v>
      </c>
      <c r="E164" s="2" t="s">
        <v>13</v>
      </c>
      <c r="F164" s="4">
        <v>20197</v>
      </c>
      <c r="H164" s="2">
        <f t="shared" si="12"/>
        <v>185.44</v>
      </c>
      <c r="I164" s="29">
        <v>97.6</v>
      </c>
      <c r="J164" s="8">
        <f t="shared" si="11"/>
        <v>185.44</v>
      </c>
      <c r="K164" s="2">
        <v>9</v>
      </c>
      <c r="L164" s="21"/>
      <c r="M164" s="14"/>
      <c r="N164" s="26"/>
      <c r="O164" s="24"/>
      <c r="P164" s="16"/>
      <c r="Q164" s="2">
        <f t="shared" si="13"/>
        <v>1</v>
      </c>
    </row>
    <row r="165" spans="1:17" x14ac:dyDescent="0.3">
      <c r="A165" s="2" t="s">
        <v>146</v>
      </c>
      <c r="B165" s="2" t="s">
        <v>40</v>
      </c>
      <c r="C165" s="2">
        <v>4</v>
      </c>
      <c r="D165" s="2">
        <v>2400</v>
      </c>
      <c r="E165" s="2" t="s">
        <v>13</v>
      </c>
      <c r="F165" s="4">
        <v>20074</v>
      </c>
      <c r="H165" s="2">
        <f t="shared" si="12"/>
        <v>936.96</v>
      </c>
      <c r="I165" s="29">
        <v>97.6</v>
      </c>
      <c r="J165" s="8">
        <f t="shared" si="11"/>
        <v>234.24</v>
      </c>
      <c r="K165" s="2">
        <v>9</v>
      </c>
      <c r="L165" s="21"/>
      <c r="M165" s="14"/>
      <c r="N165" s="26"/>
      <c r="O165" s="24"/>
      <c r="P165" s="16"/>
      <c r="Q165" s="2">
        <f t="shared" si="13"/>
        <v>4</v>
      </c>
    </row>
    <row r="166" spans="1:17" x14ac:dyDescent="0.3">
      <c r="A166" s="2" t="s">
        <v>146</v>
      </c>
      <c r="B166" s="2" t="s">
        <v>105</v>
      </c>
      <c r="C166" s="2">
        <v>1</v>
      </c>
      <c r="D166" s="2">
        <v>2500</v>
      </c>
      <c r="H166" s="2">
        <f t="shared" si="12"/>
        <v>350</v>
      </c>
      <c r="I166" s="29">
        <v>140</v>
      </c>
      <c r="J166" s="8">
        <f t="shared" si="11"/>
        <v>350</v>
      </c>
      <c r="K166" s="2">
        <v>12</v>
      </c>
      <c r="L166" s="21"/>
      <c r="M166" s="14"/>
      <c r="N166" s="26"/>
      <c r="O166" s="24"/>
      <c r="P166" s="16"/>
      <c r="Q166" s="2">
        <f t="shared" si="13"/>
        <v>1</v>
      </c>
    </row>
    <row r="167" spans="1:17" x14ac:dyDescent="0.3">
      <c r="A167" s="2" t="s">
        <v>146</v>
      </c>
      <c r="B167" s="2" t="s">
        <v>106</v>
      </c>
      <c r="C167" s="2">
        <v>1</v>
      </c>
      <c r="D167" s="2">
        <v>12100</v>
      </c>
      <c r="H167" s="2">
        <f t="shared" si="12"/>
        <v>2153.8000000000002</v>
      </c>
      <c r="I167" s="29">
        <v>178</v>
      </c>
      <c r="J167" s="8">
        <f t="shared" si="11"/>
        <v>2153.8000000000002</v>
      </c>
      <c r="K167" s="2">
        <v>13</v>
      </c>
      <c r="L167" s="21"/>
      <c r="M167" s="14"/>
      <c r="N167" s="26"/>
      <c r="O167" s="24"/>
      <c r="P167" s="16"/>
      <c r="Q167" s="2">
        <f t="shared" si="13"/>
        <v>1</v>
      </c>
    </row>
    <row r="168" spans="1:17" x14ac:dyDescent="0.3">
      <c r="A168" s="2" t="s">
        <v>146</v>
      </c>
      <c r="B168" s="2" t="s">
        <v>106</v>
      </c>
      <c r="C168" s="2">
        <v>1</v>
      </c>
      <c r="D168" s="2">
        <v>9100</v>
      </c>
      <c r="E168" s="2" t="s">
        <v>19</v>
      </c>
      <c r="F168" s="4">
        <v>61454</v>
      </c>
      <c r="H168" s="2">
        <f t="shared" si="12"/>
        <v>1619.8</v>
      </c>
      <c r="I168" s="29">
        <v>178</v>
      </c>
      <c r="J168" s="8">
        <f t="shared" si="11"/>
        <v>1619.8</v>
      </c>
      <c r="K168" s="2">
        <v>13</v>
      </c>
      <c r="L168" s="21"/>
      <c r="M168" s="14"/>
      <c r="N168" s="26"/>
      <c r="O168" s="24"/>
      <c r="P168" s="16"/>
      <c r="Q168" s="2">
        <f t="shared" si="13"/>
        <v>1</v>
      </c>
    </row>
    <row r="169" spans="1:17" x14ac:dyDescent="0.3">
      <c r="A169" s="2" t="s">
        <v>146</v>
      </c>
      <c r="B169" s="2" t="s">
        <v>102</v>
      </c>
      <c r="C169" s="2">
        <v>1</v>
      </c>
      <c r="D169" s="2">
        <v>1200</v>
      </c>
      <c r="H169" s="2">
        <f t="shared" si="12"/>
        <v>32.04</v>
      </c>
      <c r="I169" s="29">
        <v>26.7</v>
      </c>
      <c r="J169" s="8">
        <f t="shared" si="11"/>
        <v>32.04</v>
      </c>
      <c r="K169" s="2">
        <v>11</v>
      </c>
      <c r="L169" s="21"/>
      <c r="M169" s="14"/>
      <c r="N169" s="26"/>
      <c r="O169" s="24"/>
      <c r="P169" s="16"/>
      <c r="Q169" s="2">
        <f t="shared" si="13"/>
        <v>1</v>
      </c>
    </row>
    <row r="170" spans="1:17" x14ac:dyDescent="0.3">
      <c r="A170" s="2" t="s">
        <v>146</v>
      </c>
      <c r="B170" s="2" t="s">
        <v>71</v>
      </c>
      <c r="C170" s="2">
        <v>2</v>
      </c>
      <c r="D170" s="2">
        <v>12100</v>
      </c>
      <c r="H170" s="2">
        <f t="shared" si="12"/>
        <v>815.54000000000008</v>
      </c>
      <c r="I170" s="29">
        <v>33.700000000000003</v>
      </c>
      <c r="J170" s="8">
        <f t="shared" si="11"/>
        <v>407.77000000000004</v>
      </c>
      <c r="K170" s="2">
        <v>4</v>
      </c>
      <c r="L170" s="21"/>
      <c r="M170" s="14"/>
      <c r="N170" s="26"/>
      <c r="O170" s="24"/>
      <c r="P170" s="16"/>
      <c r="Q170" s="2">
        <f t="shared" si="13"/>
        <v>2</v>
      </c>
    </row>
    <row r="171" spans="1:17" x14ac:dyDescent="0.3">
      <c r="A171" s="2" t="s">
        <v>146</v>
      </c>
      <c r="B171" s="2" t="s">
        <v>71</v>
      </c>
      <c r="C171" s="2">
        <v>1</v>
      </c>
      <c r="D171" s="2">
        <v>1300</v>
      </c>
      <c r="H171" s="2">
        <f t="shared" si="12"/>
        <v>43.810000000000009</v>
      </c>
      <c r="I171" s="29">
        <v>33.700000000000003</v>
      </c>
      <c r="J171" s="8">
        <f t="shared" si="11"/>
        <v>43.810000000000009</v>
      </c>
      <c r="K171" s="2">
        <v>11</v>
      </c>
      <c r="L171" s="21"/>
      <c r="M171" s="14"/>
      <c r="N171" s="26"/>
      <c r="O171" s="24"/>
      <c r="P171" s="16"/>
      <c r="Q171" s="2">
        <f t="shared" si="13"/>
        <v>1</v>
      </c>
    </row>
    <row r="172" spans="1:17" x14ac:dyDescent="0.3">
      <c r="A172" s="2" t="s">
        <v>146</v>
      </c>
      <c r="B172" s="2" t="s">
        <v>70</v>
      </c>
      <c r="C172" s="2">
        <v>2</v>
      </c>
      <c r="D172" s="2">
        <v>12100</v>
      </c>
      <c r="H172" s="2">
        <f t="shared" si="12"/>
        <v>1030.92</v>
      </c>
      <c r="I172" s="29">
        <v>42.6</v>
      </c>
      <c r="J172" s="8">
        <f t="shared" si="11"/>
        <v>515.46</v>
      </c>
      <c r="K172" s="2">
        <v>4</v>
      </c>
      <c r="L172" s="21"/>
      <c r="M172" s="14"/>
      <c r="N172" s="26"/>
      <c r="O172" s="24"/>
      <c r="P172" s="16"/>
      <c r="Q172" s="2">
        <f t="shared" si="13"/>
        <v>2</v>
      </c>
    </row>
    <row r="173" spans="1:17" x14ac:dyDescent="0.3">
      <c r="A173" s="2" t="s">
        <v>146</v>
      </c>
      <c r="B173" s="2" t="s">
        <v>70</v>
      </c>
      <c r="C173" s="2">
        <v>1</v>
      </c>
      <c r="D173" s="2">
        <v>7600</v>
      </c>
      <c r="H173" s="2">
        <f t="shared" si="12"/>
        <v>323.76</v>
      </c>
      <c r="I173" s="29">
        <v>42.6</v>
      </c>
      <c r="J173" s="8">
        <f t="shared" si="11"/>
        <v>323.76</v>
      </c>
      <c r="K173" s="2">
        <v>4</v>
      </c>
      <c r="L173" s="21"/>
      <c r="M173" s="14"/>
      <c r="N173" s="26"/>
      <c r="O173" s="24"/>
      <c r="P173" s="16"/>
      <c r="Q173" s="2">
        <f t="shared" si="13"/>
        <v>1</v>
      </c>
    </row>
    <row r="174" spans="1:17" x14ac:dyDescent="0.3">
      <c r="A174" s="2" t="s">
        <v>146</v>
      </c>
      <c r="B174" s="2" t="s">
        <v>11</v>
      </c>
      <c r="C174" s="2">
        <v>6</v>
      </c>
      <c r="D174" s="2">
        <v>12100</v>
      </c>
      <c r="H174" s="2">
        <f t="shared" si="12"/>
        <v>3717.12</v>
      </c>
      <c r="I174" s="29">
        <v>51.2</v>
      </c>
      <c r="J174" s="8">
        <f t="shared" si="11"/>
        <v>619.52</v>
      </c>
      <c r="K174" s="2">
        <v>1</v>
      </c>
      <c r="L174" s="21"/>
      <c r="M174" s="14"/>
      <c r="N174" s="26"/>
      <c r="O174" s="24"/>
      <c r="P174" s="16"/>
      <c r="Q174" s="2">
        <f t="shared" si="13"/>
        <v>6</v>
      </c>
    </row>
    <row r="175" spans="1:17" x14ac:dyDescent="0.3">
      <c r="A175" s="2" t="s">
        <v>146</v>
      </c>
      <c r="B175" s="2" t="s">
        <v>11</v>
      </c>
      <c r="C175" s="2">
        <v>1</v>
      </c>
      <c r="D175" s="2">
        <v>2650</v>
      </c>
      <c r="H175" s="2">
        <f t="shared" si="12"/>
        <v>135.68</v>
      </c>
      <c r="I175" s="29">
        <v>51.2</v>
      </c>
      <c r="J175" s="8">
        <f t="shared" ref="J175:J238" si="14">+I175*D175/1000</f>
        <v>135.68</v>
      </c>
      <c r="K175" s="2">
        <v>3</v>
      </c>
      <c r="L175" s="21"/>
      <c r="M175" s="14"/>
      <c r="N175" s="26"/>
      <c r="O175" s="24"/>
      <c r="P175" s="16"/>
      <c r="Q175" s="2">
        <f t="shared" si="13"/>
        <v>1</v>
      </c>
    </row>
    <row r="176" spans="1:17" x14ac:dyDescent="0.3">
      <c r="A176" s="2" t="s">
        <v>146</v>
      </c>
      <c r="B176" s="2" t="s">
        <v>11</v>
      </c>
      <c r="C176" s="2">
        <v>2</v>
      </c>
      <c r="D176" s="2">
        <v>12100</v>
      </c>
      <c r="H176" s="2">
        <f t="shared" si="12"/>
        <v>1239.04</v>
      </c>
      <c r="I176" s="29">
        <v>51.2</v>
      </c>
      <c r="J176" s="8">
        <f t="shared" si="14"/>
        <v>619.52</v>
      </c>
      <c r="K176" s="2">
        <v>4</v>
      </c>
      <c r="L176" s="21"/>
      <c r="M176" s="14"/>
      <c r="N176" s="26"/>
      <c r="O176" s="24"/>
      <c r="P176" s="16"/>
      <c r="Q176" s="2">
        <f t="shared" si="13"/>
        <v>2</v>
      </c>
    </row>
    <row r="177" spans="1:17" x14ac:dyDescent="0.3">
      <c r="A177" s="2" t="s">
        <v>146</v>
      </c>
      <c r="B177" s="2" t="s">
        <v>11</v>
      </c>
      <c r="C177" s="2">
        <v>1</v>
      </c>
      <c r="D177" s="2">
        <v>1500</v>
      </c>
      <c r="H177" s="2">
        <f t="shared" si="12"/>
        <v>76.8</v>
      </c>
      <c r="I177" s="29">
        <v>51.2</v>
      </c>
      <c r="J177" s="8">
        <f t="shared" si="14"/>
        <v>76.8</v>
      </c>
      <c r="K177" s="2">
        <v>5</v>
      </c>
      <c r="L177" s="21"/>
      <c r="M177" s="14"/>
      <c r="N177" s="26"/>
      <c r="O177" s="24"/>
      <c r="P177" s="16"/>
      <c r="Q177" s="2">
        <f t="shared" si="13"/>
        <v>1</v>
      </c>
    </row>
    <row r="178" spans="1:17" x14ac:dyDescent="0.3">
      <c r="A178" s="2" t="s">
        <v>146</v>
      </c>
      <c r="B178" s="2" t="s">
        <v>11</v>
      </c>
      <c r="C178" s="2">
        <v>4</v>
      </c>
      <c r="D178" s="2">
        <v>13500</v>
      </c>
      <c r="E178" s="2" t="s">
        <v>13</v>
      </c>
      <c r="F178" s="4" t="s">
        <v>78</v>
      </c>
      <c r="H178" s="2">
        <f t="shared" si="12"/>
        <v>2764.8</v>
      </c>
      <c r="I178" s="29">
        <v>51.2</v>
      </c>
      <c r="J178" s="8">
        <f t="shared" si="14"/>
        <v>691.2</v>
      </c>
      <c r="K178" s="2">
        <v>5</v>
      </c>
      <c r="L178" s="21">
        <v>46162</v>
      </c>
      <c r="M178" s="14">
        <v>3</v>
      </c>
      <c r="N178" s="26"/>
      <c r="O178" s="24"/>
      <c r="P178" s="16"/>
      <c r="Q178" s="2">
        <f t="shared" si="13"/>
        <v>1</v>
      </c>
    </row>
    <row r="179" spans="1:17" x14ac:dyDescent="0.3">
      <c r="A179" s="2" t="s">
        <v>146</v>
      </c>
      <c r="B179" s="2" t="s">
        <v>11</v>
      </c>
      <c r="C179" s="2">
        <v>4</v>
      </c>
      <c r="D179" s="2">
        <v>4300</v>
      </c>
      <c r="H179" s="2">
        <f t="shared" si="12"/>
        <v>880.64</v>
      </c>
      <c r="I179" s="29">
        <v>51.2</v>
      </c>
      <c r="J179" s="8">
        <f t="shared" si="14"/>
        <v>220.16</v>
      </c>
      <c r="K179" s="2">
        <v>6</v>
      </c>
      <c r="L179" s="21"/>
      <c r="M179" s="14"/>
      <c r="N179" s="26"/>
      <c r="O179" s="24"/>
      <c r="P179" s="16"/>
      <c r="Q179" s="2">
        <f t="shared" si="13"/>
        <v>4</v>
      </c>
    </row>
    <row r="180" spans="1:17" x14ac:dyDescent="0.3">
      <c r="A180" s="2" t="s">
        <v>146</v>
      </c>
      <c r="B180" s="2" t="s">
        <v>11</v>
      </c>
      <c r="C180" s="2">
        <v>1</v>
      </c>
      <c r="D180" s="2">
        <v>6300</v>
      </c>
      <c r="H180" s="2">
        <f t="shared" si="12"/>
        <v>322.56</v>
      </c>
      <c r="I180" s="29">
        <v>51.2</v>
      </c>
      <c r="J180" s="8">
        <f t="shared" si="14"/>
        <v>322.56</v>
      </c>
      <c r="K180" s="2">
        <v>6</v>
      </c>
      <c r="L180" s="21"/>
      <c r="M180" s="14"/>
      <c r="N180" s="26"/>
      <c r="O180" s="24"/>
      <c r="P180" s="16"/>
      <c r="Q180" s="2">
        <f t="shared" si="13"/>
        <v>1</v>
      </c>
    </row>
    <row r="181" spans="1:17" x14ac:dyDescent="0.3">
      <c r="A181" s="2" t="s">
        <v>146</v>
      </c>
      <c r="B181" s="2" t="s">
        <v>11</v>
      </c>
      <c r="C181" s="2">
        <v>5</v>
      </c>
      <c r="D181" s="2">
        <v>1800</v>
      </c>
      <c r="H181" s="2">
        <f t="shared" si="12"/>
        <v>460.79999999999995</v>
      </c>
      <c r="I181" s="29">
        <v>51.2</v>
      </c>
      <c r="J181" s="8">
        <f t="shared" si="14"/>
        <v>92.16</v>
      </c>
      <c r="K181" s="2">
        <v>11</v>
      </c>
      <c r="L181" s="21"/>
      <c r="M181" s="14"/>
      <c r="N181" s="26"/>
      <c r="O181" s="24"/>
      <c r="P181" s="16"/>
      <c r="Q181" s="2">
        <f t="shared" si="13"/>
        <v>5</v>
      </c>
    </row>
    <row r="182" spans="1:17" x14ac:dyDescent="0.3">
      <c r="A182" s="2" t="s">
        <v>146</v>
      </c>
      <c r="B182" s="2" t="s">
        <v>73</v>
      </c>
      <c r="C182" s="2">
        <v>1</v>
      </c>
      <c r="D182" s="2">
        <v>9100</v>
      </c>
      <c r="H182" s="2">
        <f t="shared" si="12"/>
        <v>557.83000000000004</v>
      </c>
      <c r="I182" s="29">
        <v>61.3</v>
      </c>
      <c r="J182" s="8">
        <f t="shared" si="14"/>
        <v>557.83000000000004</v>
      </c>
      <c r="K182" s="2">
        <v>4</v>
      </c>
      <c r="L182" s="21"/>
      <c r="M182" s="14"/>
      <c r="N182" s="26"/>
      <c r="O182" s="24"/>
      <c r="P182" s="16"/>
      <c r="Q182" s="2">
        <f t="shared" si="13"/>
        <v>1</v>
      </c>
    </row>
    <row r="183" spans="1:17" x14ac:dyDescent="0.3">
      <c r="A183" s="2" t="s">
        <v>146</v>
      </c>
      <c r="B183" s="2" t="s">
        <v>73</v>
      </c>
      <c r="C183" s="2">
        <v>4</v>
      </c>
      <c r="D183" s="2">
        <v>12100</v>
      </c>
      <c r="H183" s="2">
        <f t="shared" si="12"/>
        <v>2966.92</v>
      </c>
      <c r="I183" s="29">
        <v>61.3</v>
      </c>
      <c r="J183" s="8">
        <f t="shared" si="14"/>
        <v>741.73</v>
      </c>
      <c r="K183" s="2">
        <v>4</v>
      </c>
      <c r="L183" s="21"/>
      <c r="M183" s="14"/>
      <c r="N183" s="26"/>
      <c r="O183" s="24"/>
      <c r="P183" s="16"/>
      <c r="Q183" s="2">
        <f t="shared" si="13"/>
        <v>4</v>
      </c>
    </row>
    <row r="184" spans="1:17" x14ac:dyDescent="0.3">
      <c r="A184" s="2" t="s">
        <v>146</v>
      </c>
      <c r="B184" s="2" t="s">
        <v>73</v>
      </c>
      <c r="C184" s="2">
        <v>1</v>
      </c>
      <c r="D184" s="2">
        <v>6100</v>
      </c>
      <c r="E184" s="2" t="s">
        <v>33</v>
      </c>
      <c r="F184" s="4" t="s">
        <v>101</v>
      </c>
      <c r="H184" s="2">
        <f t="shared" si="12"/>
        <v>373.93</v>
      </c>
      <c r="I184" s="29">
        <v>61.3</v>
      </c>
      <c r="J184" s="8">
        <f t="shared" si="14"/>
        <v>373.93</v>
      </c>
      <c r="K184" s="2">
        <v>10</v>
      </c>
      <c r="L184" s="21"/>
      <c r="M184" s="14"/>
      <c r="N184" s="26"/>
      <c r="O184" s="24"/>
      <c r="P184" s="16"/>
      <c r="Q184" s="2">
        <f t="shared" si="13"/>
        <v>1</v>
      </c>
    </row>
    <row r="185" spans="1:17" x14ac:dyDescent="0.3">
      <c r="A185" s="2" t="s">
        <v>146</v>
      </c>
      <c r="B185" s="2" t="s">
        <v>73</v>
      </c>
      <c r="C185" s="2">
        <v>1</v>
      </c>
      <c r="D185" s="2">
        <v>2400</v>
      </c>
      <c r="H185" s="2">
        <f t="shared" si="12"/>
        <v>147.12</v>
      </c>
      <c r="I185" s="29">
        <v>61.3</v>
      </c>
      <c r="J185" s="8">
        <f t="shared" si="14"/>
        <v>147.12</v>
      </c>
      <c r="K185" s="2">
        <v>11</v>
      </c>
      <c r="L185" s="21"/>
      <c r="M185" s="14"/>
      <c r="N185" s="26"/>
      <c r="O185" s="24"/>
      <c r="P185" s="16"/>
      <c r="Q185" s="2">
        <f t="shared" si="13"/>
        <v>1</v>
      </c>
    </row>
    <row r="186" spans="1:17" x14ac:dyDescent="0.3">
      <c r="A186" s="2" t="s">
        <v>146</v>
      </c>
      <c r="B186" s="2" t="s">
        <v>55</v>
      </c>
      <c r="C186" s="2">
        <v>1</v>
      </c>
      <c r="D186" s="2">
        <v>12100</v>
      </c>
      <c r="H186" s="2">
        <f t="shared" si="12"/>
        <v>865.15</v>
      </c>
      <c r="I186" s="29">
        <v>71.5</v>
      </c>
      <c r="J186" s="8">
        <f t="shared" si="14"/>
        <v>865.15</v>
      </c>
      <c r="K186" s="2">
        <v>3</v>
      </c>
      <c r="L186" s="21"/>
      <c r="M186" s="14"/>
      <c r="N186" s="26"/>
      <c r="O186" s="24"/>
      <c r="P186" s="16"/>
      <c r="Q186" s="2">
        <f t="shared" si="13"/>
        <v>1</v>
      </c>
    </row>
    <row r="187" spans="1:17" x14ac:dyDescent="0.3">
      <c r="A187" s="2" t="s">
        <v>146</v>
      </c>
      <c r="B187" s="2" t="s">
        <v>55</v>
      </c>
      <c r="C187" s="2">
        <v>1</v>
      </c>
      <c r="D187" s="2">
        <v>1300</v>
      </c>
      <c r="H187" s="2">
        <f t="shared" si="12"/>
        <v>92.95</v>
      </c>
      <c r="I187" s="29">
        <v>71.5</v>
      </c>
      <c r="J187" s="8">
        <f t="shared" si="14"/>
        <v>92.95</v>
      </c>
      <c r="K187" s="2">
        <v>11</v>
      </c>
      <c r="L187" s="21"/>
      <c r="M187" s="14"/>
      <c r="N187" s="26"/>
      <c r="O187" s="24"/>
      <c r="P187" s="16"/>
      <c r="Q187" s="2">
        <f t="shared" si="13"/>
        <v>1</v>
      </c>
    </row>
    <row r="188" spans="1:17" x14ac:dyDescent="0.3">
      <c r="A188" s="2" t="s">
        <v>146</v>
      </c>
      <c r="B188" s="2" t="s">
        <v>55</v>
      </c>
      <c r="C188" s="2">
        <v>2</v>
      </c>
      <c r="D188" s="2">
        <v>5000</v>
      </c>
      <c r="H188" s="2">
        <f t="shared" si="12"/>
        <v>715</v>
      </c>
      <c r="I188" s="29">
        <v>71.5</v>
      </c>
      <c r="J188" s="8">
        <f t="shared" si="14"/>
        <v>357.5</v>
      </c>
      <c r="K188" s="2">
        <v>12</v>
      </c>
      <c r="L188" s="21"/>
      <c r="M188" s="14"/>
      <c r="N188" s="26"/>
      <c r="O188" s="24"/>
      <c r="P188" s="16"/>
      <c r="Q188" s="2">
        <f t="shared" si="13"/>
        <v>2</v>
      </c>
    </row>
    <row r="189" spans="1:17" x14ac:dyDescent="0.3">
      <c r="A189" s="2" t="s">
        <v>146</v>
      </c>
      <c r="B189" s="2" t="s">
        <v>6</v>
      </c>
      <c r="C189" s="2">
        <v>6</v>
      </c>
      <c r="D189" s="2">
        <v>13500</v>
      </c>
      <c r="E189" s="2" t="s">
        <v>13</v>
      </c>
      <c r="F189" s="4">
        <v>630548</v>
      </c>
      <c r="H189" s="2">
        <f t="shared" si="12"/>
        <v>6739.2000000000007</v>
      </c>
      <c r="I189" s="29">
        <v>83.2</v>
      </c>
      <c r="J189" s="8">
        <f t="shared" si="14"/>
        <v>1123.2</v>
      </c>
      <c r="K189" s="2">
        <v>1</v>
      </c>
      <c r="L189" s="21"/>
      <c r="M189" s="14"/>
      <c r="N189" s="26"/>
      <c r="O189" s="24"/>
      <c r="P189" s="16"/>
      <c r="Q189" s="2">
        <f t="shared" si="13"/>
        <v>6</v>
      </c>
    </row>
    <row r="190" spans="1:17" x14ac:dyDescent="0.3">
      <c r="A190" s="2" t="s">
        <v>146</v>
      </c>
      <c r="B190" s="2" t="s">
        <v>6</v>
      </c>
      <c r="C190" s="2">
        <v>3</v>
      </c>
      <c r="D190" s="2">
        <v>12200</v>
      </c>
      <c r="E190" s="2" t="s">
        <v>13</v>
      </c>
      <c r="F190" s="4">
        <v>630548</v>
      </c>
      <c r="G190" s="2" t="s">
        <v>49</v>
      </c>
      <c r="H190" s="2">
        <f t="shared" si="12"/>
        <v>3045.12</v>
      </c>
      <c r="I190" s="29">
        <v>83.2</v>
      </c>
      <c r="J190" s="8">
        <f t="shared" si="14"/>
        <v>1015.04</v>
      </c>
      <c r="K190" s="2">
        <v>2</v>
      </c>
      <c r="L190" s="21"/>
      <c r="M190" s="14"/>
      <c r="N190" s="26"/>
      <c r="O190" s="24"/>
      <c r="P190" s="16"/>
      <c r="Q190" s="2">
        <f t="shared" si="13"/>
        <v>3</v>
      </c>
    </row>
    <row r="191" spans="1:17" x14ac:dyDescent="0.3">
      <c r="A191" s="2" t="s">
        <v>146</v>
      </c>
      <c r="B191" s="2" t="s">
        <v>6</v>
      </c>
      <c r="C191" s="2">
        <v>1</v>
      </c>
      <c r="D191" s="2">
        <v>7800</v>
      </c>
      <c r="H191" s="2">
        <f t="shared" si="12"/>
        <v>648.96</v>
      </c>
      <c r="I191" s="29">
        <v>83.2</v>
      </c>
      <c r="J191" s="8">
        <f t="shared" si="14"/>
        <v>648.96</v>
      </c>
      <c r="K191" s="2">
        <v>4</v>
      </c>
      <c r="L191" s="21"/>
      <c r="M191" s="14"/>
      <c r="N191" s="26"/>
      <c r="O191" s="24"/>
      <c r="P191" s="16"/>
      <c r="Q191" s="2">
        <f t="shared" si="13"/>
        <v>1</v>
      </c>
    </row>
    <row r="192" spans="1:17" x14ac:dyDescent="0.3">
      <c r="A192" s="2" t="s">
        <v>146</v>
      </c>
      <c r="B192" s="2" t="s">
        <v>6</v>
      </c>
      <c r="C192" s="2">
        <v>2</v>
      </c>
      <c r="D192" s="2">
        <v>12100</v>
      </c>
      <c r="E192" s="2" t="s">
        <v>64</v>
      </c>
      <c r="H192" s="2">
        <f t="shared" si="12"/>
        <v>2013.44</v>
      </c>
      <c r="I192" s="29">
        <v>83.2</v>
      </c>
      <c r="J192" s="8">
        <f t="shared" si="14"/>
        <v>1006.72</v>
      </c>
      <c r="K192" s="2">
        <v>4</v>
      </c>
      <c r="L192" s="21"/>
      <c r="M192" s="14"/>
      <c r="N192" s="26"/>
      <c r="O192" s="24"/>
      <c r="P192" s="16"/>
      <c r="Q192" s="2">
        <f t="shared" si="13"/>
        <v>2</v>
      </c>
    </row>
    <row r="193" spans="1:17" x14ac:dyDescent="0.3">
      <c r="A193" s="2" t="s">
        <v>146</v>
      </c>
      <c r="B193" s="2" t="s">
        <v>6</v>
      </c>
      <c r="C193" s="2">
        <v>1</v>
      </c>
      <c r="D193" s="2">
        <v>8900</v>
      </c>
      <c r="H193" s="2">
        <f t="shared" si="12"/>
        <v>740.48</v>
      </c>
      <c r="I193" s="29">
        <v>83.2</v>
      </c>
      <c r="J193" s="8">
        <f t="shared" si="14"/>
        <v>740.48</v>
      </c>
      <c r="K193" s="2">
        <v>4</v>
      </c>
      <c r="L193" s="21"/>
      <c r="M193" s="14"/>
      <c r="N193" s="26"/>
      <c r="O193" s="24"/>
      <c r="P193" s="16"/>
      <c r="Q193" s="2">
        <f t="shared" si="13"/>
        <v>1</v>
      </c>
    </row>
    <row r="194" spans="1:17" x14ac:dyDescent="0.3">
      <c r="A194" s="2" t="s">
        <v>146</v>
      </c>
      <c r="B194" s="2" t="s">
        <v>6</v>
      </c>
      <c r="C194" s="2">
        <v>1</v>
      </c>
      <c r="D194" s="2">
        <v>8100</v>
      </c>
      <c r="H194" s="2">
        <f t="shared" si="12"/>
        <v>673.92</v>
      </c>
      <c r="I194" s="29">
        <v>83.2</v>
      </c>
      <c r="J194" s="8">
        <f t="shared" si="14"/>
        <v>673.92</v>
      </c>
      <c r="K194" s="2">
        <v>4</v>
      </c>
      <c r="L194" s="21"/>
      <c r="M194" s="14"/>
      <c r="N194" s="26"/>
      <c r="O194" s="24"/>
      <c r="P194" s="16"/>
      <c r="Q194" s="2">
        <f t="shared" si="13"/>
        <v>1</v>
      </c>
    </row>
    <row r="195" spans="1:17" x14ac:dyDescent="0.3">
      <c r="A195" s="2" t="s">
        <v>146</v>
      </c>
      <c r="B195" s="2" t="s">
        <v>6</v>
      </c>
      <c r="C195" s="2">
        <v>2</v>
      </c>
      <c r="D195" s="2">
        <v>12100</v>
      </c>
      <c r="H195" s="2">
        <f t="shared" ref="H195:H258" si="15">+J195*C195</f>
        <v>2013.44</v>
      </c>
      <c r="I195" s="29">
        <v>83.2</v>
      </c>
      <c r="J195" s="8">
        <f t="shared" si="14"/>
        <v>1006.72</v>
      </c>
      <c r="K195" s="2">
        <v>6</v>
      </c>
      <c r="L195" s="21"/>
      <c r="M195" s="14"/>
      <c r="N195" s="26"/>
      <c r="O195" s="24"/>
      <c r="P195" s="16"/>
      <c r="Q195" s="2">
        <f t="shared" si="13"/>
        <v>2</v>
      </c>
    </row>
    <row r="196" spans="1:17" x14ac:dyDescent="0.3">
      <c r="A196" s="2" t="s">
        <v>146</v>
      </c>
      <c r="B196" s="2" t="s">
        <v>6</v>
      </c>
      <c r="C196" s="2">
        <v>1</v>
      </c>
      <c r="D196" s="2">
        <v>9300</v>
      </c>
      <c r="E196" s="2" t="s">
        <v>13</v>
      </c>
      <c r="F196" s="4">
        <v>630548</v>
      </c>
      <c r="H196" s="2">
        <f t="shared" si="15"/>
        <v>773.76</v>
      </c>
      <c r="I196" s="29">
        <v>83.2</v>
      </c>
      <c r="J196" s="8">
        <f t="shared" si="14"/>
        <v>773.76</v>
      </c>
      <c r="K196" s="2">
        <v>7</v>
      </c>
      <c r="L196" s="21"/>
      <c r="M196" s="14"/>
      <c r="N196" s="26"/>
      <c r="O196" s="24"/>
      <c r="P196" s="16"/>
      <c r="Q196" s="2">
        <f t="shared" si="13"/>
        <v>1</v>
      </c>
    </row>
    <row r="197" spans="1:17" x14ac:dyDescent="0.3">
      <c r="A197" s="2" t="s">
        <v>146</v>
      </c>
      <c r="B197" s="2" t="s">
        <v>6</v>
      </c>
      <c r="C197" s="2">
        <v>5</v>
      </c>
      <c r="D197" s="2">
        <v>12200</v>
      </c>
      <c r="E197" s="2" t="s">
        <v>13</v>
      </c>
      <c r="F197" s="4">
        <v>630548</v>
      </c>
      <c r="H197" s="2">
        <f t="shared" si="15"/>
        <v>5075.2</v>
      </c>
      <c r="I197" s="29">
        <v>83.2</v>
      </c>
      <c r="J197" s="8">
        <f t="shared" si="14"/>
        <v>1015.04</v>
      </c>
      <c r="K197" s="2">
        <v>7</v>
      </c>
      <c r="L197" s="21"/>
      <c r="M197" s="14"/>
      <c r="N197" s="26"/>
      <c r="O197" s="24"/>
      <c r="P197" s="16"/>
      <c r="Q197" s="2">
        <f t="shared" si="13"/>
        <v>5</v>
      </c>
    </row>
    <row r="198" spans="1:17" x14ac:dyDescent="0.3">
      <c r="A198" s="2" t="s">
        <v>146</v>
      </c>
      <c r="B198" s="2" t="s">
        <v>6</v>
      </c>
      <c r="C198" s="2">
        <v>2</v>
      </c>
      <c r="D198" s="2">
        <v>12400</v>
      </c>
      <c r="E198" s="2" t="s">
        <v>13</v>
      </c>
      <c r="F198" s="4">
        <v>630548</v>
      </c>
      <c r="H198" s="2">
        <f t="shared" si="15"/>
        <v>2063.36</v>
      </c>
      <c r="I198" s="29">
        <v>83.2</v>
      </c>
      <c r="J198" s="8">
        <f t="shared" si="14"/>
        <v>1031.68</v>
      </c>
      <c r="K198" s="2">
        <v>7</v>
      </c>
      <c r="L198" s="21"/>
      <c r="M198" s="14"/>
      <c r="N198" s="26"/>
      <c r="O198" s="24"/>
      <c r="P198" s="16"/>
      <c r="Q198" s="2">
        <f t="shared" si="13"/>
        <v>2</v>
      </c>
    </row>
    <row r="199" spans="1:17" x14ac:dyDescent="0.3">
      <c r="A199" s="2" t="s">
        <v>146</v>
      </c>
      <c r="B199" s="2" t="s">
        <v>6</v>
      </c>
      <c r="C199" s="2">
        <v>5</v>
      </c>
      <c r="D199" s="2">
        <v>2400</v>
      </c>
      <c r="H199" s="2">
        <f t="shared" si="15"/>
        <v>998.40000000000009</v>
      </c>
      <c r="I199" s="29">
        <v>83.2</v>
      </c>
      <c r="J199" s="8">
        <f t="shared" si="14"/>
        <v>199.68</v>
      </c>
      <c r="K199" s="2">
        <v>10</v>
      </c>
      <c r="L199" s="21"/>
      <c r="M199" s="14"/>
      <c r="N199" s="26"/>
      <c r="O199" s="24"/>
      <c r="P199" s="16"/>
      <c r="Q199" s="2">
        <f t="shared" si="13"/>
        <v>5</v>
      </c>
    </row>
    <row r="200" spans="1:17" x14ac:dyDescent="0.3">
      <c r="A200" s="2" t="s">
        <v>146</v>
      </c>
      <c r="B200" s="2" t="s">
        <v>7</v>
      </c>
      <c r="C200" s="2">
        <v>3</v>
      </c>
      <c r="D200" s="2">
        <v>12100</v>
      </c>
      <c r="H200" s="2">
        <f t="shared" si="15"/>
        <v>3738.8999999999996</v>
      </c>
      <c r="I200" s="29">
        <v>103</v>
      </c>
      <c r="J200" s="8">
        <f t="shared" si="14"/>
        <v>1246.3</v>
      </c>
      <c r="K200" s="2">
        <v>2</v>
      </c>
      <c r="L200" s="21"/>
      <c r="M200" s="14"/>
      <c r="N200" s="26"/>
      <c r="O200" s="24"/>
      <c r="P200" s="16"/>
      <c r="Q200" s="2">
        <f t="shared" si="13"/>
        <v>3</v>
      </c>
    </row>
    <row r="201" spans="1:17" x14ac:dyDescent="0.3">
      <c r="A201" s="2" t="s">
        <v>146</v>
      </c>
      <c r="B201" s="2" t="s">
        <v>7</v>
      </c>
      <c r="C201" s="2">
        <v>6</v>
      </c>
      <c r="D201" s="2">
        <v>10500</v>
      </c>
      <c r="E201" s="2" t="s">
        <v>13</v>
      </c>
      <c r="F201" s="4">
        <v>631104</v>
      </c>
      <c r="G201" s="2" t="s">
        <v>17</v>
      </c>
      <c r="H201" s="2">
        <f t="shared" si="15"/>
        <v>6489</v>
      </c>
      <c r="I201" s="29">
        <v>103</v>
      </c>
      <c r="J201" s="8">
        <f t="shared" si="14"/>
        <v>1081.5</v>
      </c>
      <c r="K201" s="2">
        <v>2</v>
      </c>
      <c r="L201" s="21">
        <v>46157</v>
      </c>
      <c r="M201" s="14">
        <v>5</v>
      </c>
      <c r="N201" s="26"/>
      <c r="O201" s="24"/>
      <c r="P201" s="16"/>
      <c r="Q201" s="2">
        <f t="shared" si="13"/>
        <v>1</v>
      </c>
    </row>
    <row r="202" spans="1:17" x14ac:dyDescent="0.3">
      <c r="A202" s="2" t="s">
        <v>146</v>
      </c>
      <c r="B202" s="2" t="s">
        <v>7</v>
      </c>
      <c r="C202" s="2">
        <v>3</v>
      </c>
      <c r="D202" s="2">
        <v>9100</v>
      </c>
      <c r="E202" s="2" t="s">
        <v>13</v>
      </c>
      <c r="F202" s="4">
        <v>631104</v>
      </c>
      <c r="G202" s="2" t="s">
        <v>17</v>
      </c>
      <c r="H202" s="2">
        <f t="shared" si="15"/>
        <v>2811.8999999999996</v>
      </c>
      <c r="I202" s="29">
        <v>103</v>
      </c>
      <c r="J202" s="8">
        <f t="shared" si="14"/>
        <v>937.3</v>
      </c>
      <c r="K202" s="2">
        <v>2</v>
      </c>
      <c r="L202" s="21">
        <v>46157</v>
      </c>
      <c r="M202" s="14">
        <v>1</v>
      </c>
      <c r="N202" s="26"/>
      <c r="O202" s="24"/>
      <c r="P202" s="16"/>
      <c r="Q202" s="2">
        <f t="shared" si="13"/>
        <v>2</v>
      </c>
    </row>
    <row r="203" spans="1:17" x14ac:dyDescent="0.3">
      <c r="A203" s="2" t="s">
        <v>146</v>
      </c>
      <c r="B203" s="2" t="s">
        <v>7</v>
      </c>
      <c r="C203" s="2">
        <v>4</v>
      </c>
      <c r="D203" s="2">
        <v>10500</v>
      </c>
      <c r="E203" s="2" t="s">
        <v>13</v>
      </c>
      <c r="F203" s="4">
        <v>631104</v>
      </c>
      <c r="G203" s="2" t="s">
        <v>17</v>
      </c>
      <c r="H203" s="2">
        <f t="shared" si="15"/>
        <v>4326</v>
      </c>
      <c r="I203" s="29">
        <v>103</v>
      </c>
      <c r="J203" s="8">
        <f t="shared" si="14"/>
        <v>1081.5</v>
      </c>
      <c r="K203" s="2">
        <v>2</v>
      </c>
      <c r="L203" s="21"/>
      <c r="M203" s="14"/>
      <c r="N203" s="26"/>
      <c r="O203" s="24"/>
      <c r="P203" s="16"/>
      <c r="Q203" s="2">
        <f t="shared" si="13"/>
        <v>4</v>
      </c>
    </row>
    <row r="204" spans="1:17" x14ac:dyDescent="0.3">
      <c r="A204" s="2" t="s">
        <v>146</v>
      </c>
      <c r="B204" s="2" t="s">
        <v>7</v>
      </c>
      <c r="C204" s="2">
        <v>6</v>
      </c>
      <c r="D204" s="2">
        <v>9100</v>
      </c>
      <c r="E204" s="2" t="s">
        <v>13</v>
      </c>
      <c r="F204" s="4">
        <v>631104</v>
      </c>
      <c r="G204" s="2" t="s">
        <v>17</v>
      </c>
      <c r="H204" s="2">
        <f t="shared" si="15"/>
        <v>5623.7999999999993</v>
      </c>
      <c r="I204" s="29">
        <v>103</v>
      </c>
      <c r="J204" s="8">
        <f t="shared" si="14"/>
        <v>937.3</v>
      </c>
      <c r="K204" s="2">
        <v>2</v>
      </c>
      <c r="L204" s="21"/>
      <c r="M204" s="14"/>
      <c r="N204" s="26"/>
      <c r="O204" s="24"/>
      <c r="P204" s="16"/>
      <c r="Q204" s="2">
        <f t="shared" si="13"/>
        <v>6</v>
      </c>
    </row>
    <row r="205" spans="1:17" x14ac:dyDescent="0.3">
      <c r="A205" s="2" t="s">
        <v>146</v>
      </c>
      <c r="B205" s="2" t="s">
        <v>7</v>
      </c>
      <c r="C205" s="2">
        <v>1</v>
      </c>
      <c r="D205" s="2">
        <v>12100</v>
      </c>
      <c r="H205" s="2">
        <f t="shared" si="15"/>
        <v>1246.3</v>
      </c>
      <c r="I205" s="29">
        <v>103</v>
      </c>
      <c r="J205" s="8">
        <f t="shared" si="14"/>
        <v>1246.3</v>
      </c>
      <c r="K205" s="2">
        <v>4</v>
      </c>
      <c r="L205" s="21"/>
      <c r="M205" s="14"/>
      <c r="N205" s="26"/>
      <c r="O205" s="24"/>
      <c r="P205" s="16"/>
      <c r="Q205" s="2">
        <f t="shared" si="13"/>
        <v>1</v>
      </c>
    </row>
    <row r="206" spans="1:17" x14ac:dyDescent="0.3">
      <c r="A206" s="2" t="s">
        <v>146</v>
      </c>
      <c r="B206" s="2" t="s">
        <v>7</v>
      </c>
      <c r="C206" s="2">
        <v>2</v>
      </c>
      <c r="D206" s="2">
        <v>12100</v>
      </c>
      <c r="H206" s="2">
        <f t="shared" si="15"/>
        <v>2492.6</v>
      </c>
      <c r="I206" s="29">
        <v>103</v>
      </c>
      <c r="J206" s="8">
        <f t="shared" si="14"/>
        <v>1246.3</v>
      </c>
      <c r="K206" s="2">
        <v>7</v>
      </c>
      <c r="L206" s="21"/>
      <c r="M206" s="14"/>
      <c r="N206" s="26"/>
      <c r="O206" s="24"/>
      <c r="P206" s="16"/>
      <c r="Q206" s="2">
        <f t="shared" si="13"/>
        <v>2</v>
      </c>
    </row>
    <row r="207" spans="1:17" x14ac:dyDescent="0.3">
      <c r="A207" s="2" t="s">
        <v>146</v>
      </c>
      <c r="B207" s="2" t="s">
        <v>7</v>
      </c>
      <c r="C207" s="2">
        <v>2</v>
      </c>
      <c r="D207" s="2">
        <v>9100</v>
      </c>
      <c r="H207" s="2">
        <f t="shared" si="15"/>
        <v>1874.6</v>
      </c>
      <c r="I207" s="29">
        <v>103</v>
      </c>
      <c r="J207" s="8">
        <f t="shared" si="14"/>
        <v>937.3</v>
      </c>
      <c r="K207" s="2">
        <v>7</v>
      </c>
      <c r="L207" s="21"/>
      <c r="M207" s="14"/>
      <c r="N207" s="26"/>
      <c r="O207" s="24"/>
      <c r="P207" s="16"/>
      <c r="Q207" s="2">
        <f t="shared" si="13"/>
        <v>2</v>
      </c>
    </row>
    <row r="208" spans="1:17" x14ac:dyDescent="0.3">
      <c r="A208" s="2" t="s">
        <v>146</v>
      </c>
      <c r="B208" s="2" t="s">
        <v>7</v>
      </c>
      <c r="C208" s="2">
        <v>2</v>
      </c>
      <c r="D208" s="2">
        <v>12100</v>
      </c>
      <c r="H208" s="2">
        <f t="shared" si="15"/>
        <v>2492.6</v>
      </c>
      <c r="I208" s="29">
        <v>103</v>
      </c>
      <c r="J208" s="8">
        <f t="shared" si="14"/>
        <v>1246.3</v>
      </c>
      <c r="K208" s="2">
        <v>7</v>
      </c>
      <c r="L208" s="21"/>
      <c r="M208" s="14"/>
      <c r="N208" s="26"/>
      <c r="O208" s="24"/>
      <c r="P208" s="16"/>
      <c r="Q208" s="2">
        <f t="shared" si="13"/>
        <v>2</v>
      </c>
    </row>
    <row r="209" spans="1:17" x14ac:dyDescent="0.3">
      <c r="A209" s="2" t="s">
        <v>146</v>
      </c>
      <c r="B209" s="2" t="s">
        <v>7</v>
      </c>
      <c r="C209" s="2">
        <v>1</v>
      </c>
      <c r="D209" s="2">
        <v>4300</v>
      </c>
      <c r="H209" s="2">
        <f t="shared" si="15"/>
        <v>442.9</v>
      </c>
      <c r="I209" s="29">
        <v>103</v>
      </c>
      <c r="J209" s="8">
        <f t="shared" si="14"/>
        <v>442.9</v>
      </c>
      <c r="K209" s="2">
        <v>9</v>
      </c>
      <c r="L209" s="21"/>
      <c r="M209" s="14"/>
      <c r="N209" s="26"/>
      <c r="O209" s="24"/>
      <c r="P209" s="16"/>
      <c r="Q209" s="2">
        <f t="shared" si="13"/>
        <v>1</v>
      </c>
    </row>
    <row r="210" spans="1:17" x14ac:dyDescent="0.3">
      <c r="A210" s="2" t="s">
        <v>146</v>
      </c>
      <c r="B210" s="2" t="s">
        <v>8</v>
      </c>
      <c r="C210" s="2">
        <v>1</v>
      </c>
      <c r="D210" s="2">
        <v>12500</v>
      </c>
      <c r="E210" s="2" t="s">
        <v>13</v>
      </c>
      <c r="F210" s="4">
        <v>630104</v>
      </c>
      <c r="G210" s="2" t="s">
        <v>18</v>
      </c>
      <c r="H210" s="2">
        <f t="shared" si="15"/>
        <v>1462.5</v>
      </c>
      <c r="I210" s="29">
        <v>117</v>
      </c>
      <c r="J210" s="8">
        <f t="shared" si="14"/>
        <v>1462.5</v>
      </c>
      <c r="K210" s="2">
        <v>1</v>
      </c>
      <c r="L210" s="21"/>
      <c r="M210" s="14"/>
      <c r="N210" s="26"/>
      <c r="O210" s="24"/>
      <c r="P210" s="16"/>
      <c r="Q210" s="2">
        <f t="shared" si="13"/>
        <v>1</v>
      </c>
    </row>
    <row r="211" spans="1:17" x14ac:dyDescent="0.3">
      <c r="A211" s="2" t="s">
        <v>146</v>
      </c>
      <c r="B211" s="2" t="s">
        <v>8</v>
      </c>
      <c r="C211" s="2">
        <v>3</v>
      </c>
      <c r="D211" s="2">
        <v>11100</v>
      </c>
      <c r="E211" s="2" t="s">
        <v>13</v>
      </c>
      <c r="F211" s="4">
        <v>513718</v>
      </c>
      <c r="G211" s="2" t="s">
        <v>18</v>
      </c>
      <c r="H211" s="2">
        <f t="shared" si="15"/>
        <v>3896.1000000000004</v>
      </c>
      <c r="I211" s="29">
        <v>117</v>
      </c>
      <c r="J211" s="8">
        <f t="shared" si="14"/>
        <v>1298.7</v>
      </c>
      <c r="K211" s="2">
        <v>2</v>
      </c>
      <c r="L211" s="21"/>
      <c r="M211" s="14"/>
      <c r="N211" s="26"/>
      <c r="O211" s="24"/>
      <c r="P211" s="16"/>
      <c r="Q211" s="2">
        <f t="shared" si="13"/>
        <v>3</v>
      </c>
    </row>
    <row r="212" spans="1:17" x14ac:dyDescent="0.3">
      <c r="A212" s="2" t="s">
        <v>146</v>
      </c>
      <c r="B212" s="2" t="s">
        <v>8</v>
      </c>
      <c r="C212" s="2">
        <v>2</v>
      </c>
      <c r="D212" s="2">
        <v>8800</v>
      </c>
      <c r="E212" s="2" t="s">
        <v>13</v>
      </c>
      <c r="F212" s="4">
        <v>513718</v>
      </c>
      <c r="G212" s="2" t="s">
        <v>18</v>
      </c>
      <c r="H212" s="2">
        <f t="shared" si="15"/>
        <v>2059.1999999999998</v>
      </c>
      <c r="I212" s="29">
        <v>117</v>
      </c>
      <c r="J212" s="8">
        <f t="shared" si="14"/>
        <v>1029.5999999999999</v>
      </c>
      <c r="K212" s="2">
        <v>2</v>
      </c>
      <c r="L212" s="21"/>
      <c r="M212" s="14"/>
      <c r="N212" s="26"/>
      <c r="O212" s="24"/>
      <c r="P212" s="16"/>
      <c r="Q212" s="2">
        <f t="shared" si="13"/>
        <v>2</v>
      </c>
    </row>
    <row r="213" spans="1:17" x14ac:dyDescent="0.3">
      <c r="A213" s="2" t="s">
        <v>146</v>
      </c>
      <c r="B213" s="2" t="s">
        <v>8</v>
      </c>
      <c r="C213" s="2">
        <v>2</v>
      </c>
      <c r="D213" s="2">
        <v>12100</v>
      </c>
      <c r="H213" s="2">
        <f t="shared" si="15"/>
        <v>2831.4</v>
      </c>
      <c r="I213" s="29">
        <v>117</v>
      </c>
      <c r="J213" s="8">
        <f t="shared" si="14"/>
        <v>1415.7</v>
      </c>
      <c r="K213" s="2">
        <v>4</v>
      </c>
      <c r="L213" s="21"/>
      <c r="M213" s="14"/>
      <c r="N213" s="26"/>
      <c r="O213" s="24"/>
      <c r="P213" s="16"/>
      <c r="Q213" s="2">
        <f t="shared" ref="Q213:Q276" si="16">C213-M213+P213</f>
        <v>2</v>
      </c>
    </row>
    <row r="214" spans="1:17" x14ac:dyDescent="0.3">
      <c r="A214" s="2" t="s">
        <v>146</v>
      </c>
      <c r="B214" s="2" t="s">
        <v>8</v>
      </c>
      <c r="C214" s="2">
        <v>4</v>
      </c>
      <c r="D214" s="2">
        <v>12100</v>
      </c>
      <c r="E214" s="2" t="s">
        <v>76</v>
      </c>
      <c r="F214" s="4">
        <v>26465</v>
      </c>
      <c r="H214" s="2">
        <f t="shared" si="15"/>
        <v>5662.8</v>
      </c>
      <c r="I214" s="29">
        <v>117</v>
      </c>
      <c r="J214" s="8">
        <f t="shared" si="14"/>
        <v>1415.7</v>
      </c>
      <c r="K214" s="2">
        <v>5</v>
      </c>
      <c r="L214" s="21"/>
      <c r="M214" s="14"/>
      <c r="N214" s="26"/>
      <c r="O214" s="24"/>
      <c r="P214" s="16"/>
      <c r="Q214" s="2">
        <f t="shared" si="16"/>
        <v>4</v>
      </c>
    </row>
    <row r="215" spans="1:17" x14ac:dyDescent="0.3">
      <c r="A215" s="2" t="s">
        <v>146</v>
      </c>
      <c r="B215" s="2" t="s">
        <v>8</v>
      </c>
      <c r="C215" s="2">
        <v>2</v>
      </c>
      <c r="D215" s="2">
        <v>12400</v>
      </c>
      <c r="E215" s="2" t="s">
        <v>76</v>
      </c>
      <c r="F215" s="4">
        <v>81674</v>
      </c>
      <c r="H215" s="2">
        <f t="shared" si="15"/>
        <v>2901.6</v>
      </c>
      <c r="I215" s="29">
        <v>117</v>
      </c>
      <c r="J215" s="8">
        <f t="shared" si="14"/>
        <v>1450.8</v>
      </c>
      <c r="K215" s="2">
        <v>5</v>
      </c>
      <c r="L215" s="21"/>
      <c r="M215" s="14"/>
      <c r="N215" s="26"/>
      <c r="O215" s="24"/>
      <c r="P215" s="16"/>
      <c r="Q215" s="2">
        <f t="shared" si="16"/>
        <v>2</v>
      </c>
    </row>
    <row r="216" spans="1:17" x14ac:dyDescent="0.3">
      <c r="A216" s="2" t="s">
        <v>146</v>
      </c>
      <c r="B216" s="2" t="s">
        <v>8</v>
      </c>
      <c r="C216" s="2">
        <v>1</v>
      </c>
      <c r="D216" s="2">
        <v>13500</v>
      </c>
      <c r="E216" s="2" t="s">
        <v>19</v>
      </c>
      <c r="F216" s="5" t="s">
        <v>93</v>
      </c>
      <c r="H216" s="2">
        <f t="shared" si="15"/>
        <v>1579.5</v>
      </c>
      <c r="I216" s="29">
        <v>117</v>
      </c>
      <c r="J216" s="8">
        <f t="shared" si="14"/>
        <v>1579.5</v>
      </c>
      <c r="K216" s="2">
        <v>7</v>
      </c>
      <c r="L216" s="21"/>
      <c r="M216" s="14"/>
      <c r="N216" s="26"/>
      <c r="O216" s="24"/>
      <c r="P216" s="16"/>
      <c r="Q216" s="2">
        <f t="shared" si="16"/>
        <v>1</v>
      </c>
    </row>
    <row r="217" spans="1:17" x14ac:dyDescent="0.3">
      <c r="A217" s="2" t="s">
        <v>146</v>
      </c>
      <c r="B217" s="2" t="s">
        <v>8</v>
      </c>
      <c r="C217" s="2">
        <v>2</v>
      </c>
      <c r="D217" s="2">
        <v>13500</v>
      </c>
      <c r="E217" s="2" t="s">
        <v>19</v>
      </c>
      <c r="F217" s="5" t="s">
        <v>94</v>
      </c>
      <c r="H217" s="2">
        <f t="shared" si="15"/>
        <v>3159</v>
      </c>
      <c r="I217" s="29">
        <v>117</v>
      </c>
      <c r="J217" s="8">
        <f t="shared" si="14"/>
        <v>1579.5</v>
      </c>
      <c r="K217" s="2">
        <v>7</v>
      </c>
      <c r="L217" s="21"/>
      <c r="M217" s="14"/>
      <c r="N217" s="26"/>
      <c r="O217" s="24"/>
      <c r="P217" s="16"/>
      <c r="Q217" s="2">
        <f t="shared" si="16"/>
        <v>2</v>
      </c>
    </row>
    <row r="218" spans="1:17" x14ac:dyDescent="0.3">
      <c r="A218" s="2" t="s">
        <v>146</v>
      </c>
      <c r="B218" s="2" t="s">
        <v>8</v>
      </c>
      <c r="C218" s="2">
        <v>3</v>
      </c>
      <c r="D218" s="2">
        <v>9300</v>
      </c>
      <c r="E218" s="2" t="s">
        <v>13</v>
      </c>
      <c r="F218" s="4">
        <v>513718</v>
      </c>
      <c r="H218" s="2">
        <f t="shared" si="15"/>
        <v>3264.2999999999997</v>
      </c>
      <c r="I218" s="29">
        <v>117</v>
      </c>
      <c r="J218" s="8">
        <f t="shared" si="14"/>
        <v>1088.0999999999999</v>
      </c>
      <c r="K218" s="2">
        <v>7</v>
      </c>
      <c r="L218" s="21"/>
      <c r="M218" s="14"/>
      <c r="N218" s="26"/>
      <c r="O218" s="24"/>
      <c r="P218" s="16"/>
      <c r="Q218" s="2">
        <f t="shared" si="16"/>
        <v>3</v>
      </c>
    </row>
    <row r="219" spans="1:17" x14ac:dyDescent="0.3">
      <c r="A219" s="2" t="s">
        <v>146</v>
      </c>
      <c r="B219" s="2" t="s">
        <v>8</v>
      </c>
      <c r="C219" s="2">
        <v>4</v>
      </c>
      <c r="D219" s="2">
        <v>8800</v>
      </c>
      <c r="E219" s="2" t="s">
        <v>13</v>
      </c>
      <c r="F219" s="4">
        <v>513718</v>
      </c>
      <c r="H219" s="2">
        <f t="shared" si="15"/>
        <v>4118.3999999999996</v>
      </c>
      <c r="I219" s="29">
        <v>117</v>
      </c>
      <c r="J219" s="8">
        <f t="shared" si="14"/>
        <v>1029.5999999999999</v>
      </c>
      <c r="K219" s="2">
        <v>7</v>
      </c>
      <c r="L219" s="21"/>
      <c r="M219" s="14"/>
      <c r="N219" s="26"/>
      <c r="O219" s="24"/>
      <c r="P219" s="16"/>
      <c r="Q219" s="2">
        <f t="shared" si="16"/>
        <v>4</v>
      </c>
    </row>
    <row r="220" spans="1:17" x14ac:dyDescent="0.3">
      <c r="A220" s="2" t="s">
        <v>146</v>
      </c>
      <c r="B220" s="2" t="s">
        <v>8</v>
      </c>
      <c r="C220" s="2">
        <v>4</v>
      </c>
      <c r="D220" s="2">
        <v>8800</v>
      </c>
      <c r="E220" s="2" t="s">
        <v>13</v>
      </c>
      <c r="F220" s="4">
        <v>513718</v>
      </c>
      <c r="H220" s="2">
        <f t="shared" si="15"/>
        <v>4118.3999999999996</v>
      </c>
      <c r="I220" s="29">
        <v>117</v>
      </c>
      <c r="J220" s="8">
        <f t="shared" si="14"/>
        <v>1029.5999999999999</v>
      </c>
      <c r="K220" s="2">
        <v>7</v>
      </c>
      <c r="L220" s="21"/>
      <c r="M220" s="14"/>
      <c r="N220" s="26"/>
      <c r="O220" s="24"/>
      <c r="P220" s="16"/>
      <c r="Q220" s="2">
        <f t="shared" si="16"/>
        <v>4</v>
      </c>
    </row>
    <row r="221" spans="1:17" x14ac:dyDescent="0.3">
      <c r="A221" s="2" t="s">
        <v>146</v>
      </c>
      <c r="B221" s="2" t="s">
        <v>8</v>
      </c>
      <c r="C221" s="2">
        <v>1</v>
      </c>
      <c r="D221" s="2">
        <v>1900</v>
      </c>
      <c r="H221" s="2">
        <f t="shared" si="15"/>
        <v>222.3</v>
      </c>
      <c r="I221" s="29">
        <v>117</v>
      </c>
      <c r="J221" s="8">
        <f t="shared" si="14"/>
        <v>222.3</v>
      </c>
      <c r="K221" s="2">
        <v>8</v>
      </c>
      <c r="L221" s="21"/>
      <c r="M221" s="14"/>
      <c r="N221" s="26"/>
      <c r="O221" s="24"/>
      <c r="P221" s="16"/>
      <c r="Q221" s="2">
        <f t="shared" si="16"/>
        <v>1</v>
      </c>
    </row>
    <row r="222" spans="1:17" x14ac:dyDescent="0.3">
      <c r="A222" s="2" t="s">
        <v>146</v>
      </c>
      <c r="B222" s="2" t="s">
        <v>8</v>
      </c>
      <c r="C222" s="2">
        <v>1</v>
      </c>
      <c r="D222" s="2">
        <v>5000</v>
      </c>
      <c r="H222" s="2">
        <f t="shared" si="15"/>
        <v>585</v>
      </c>
      <c r="I222" s="29">
        <v>117</v>
      </c>
      <c r="J222" s="8">
        <f t="shared" si="14"/>
        <v>585</v>
      </c>
      <c r="K222" s="2">
        <v>8</v>
      </c>
      <c r="L222" s="21"/>
      <c r="M222" s="14"/>
      <c r="N222" s="26"/>
      <c r="O222" s="24"/>
      <c r="P222" s="16"/>
      <c r="Q222" s="2">
        <f t="shared" si="16"/>
        <v>1</v>
      </c>
    </row>
    <row r="223" spans="1:17" x14ac:dyDescent="0.3">
      <c r="A223" s="2" t="s">
        <v>146</v>
      </c>
      <c r="B223" s="2" t="s">
        <v>8</v>
      </c>
      <c r="C223" s="2">
        <v>1</v>
      </c>
      <c r="D223" s="2">
        <v>5000</v>
      </c>
      <c r="H223" s="2">
        <f t="shared" si="15"/>
        <v>585</v>
      </c>
      <c r="I223" s="29">
        <v>117</v>
      </c>
      <c r="J223" s="8">
        <f t="shared" si="14"/>
        <v>585</v>
      </c>
      <c r="K223" s="2">
        <v>8</v>
      </c>
      <c r="L223" s="21"/>
      <c r="M223" s="14"/>
      <c r="N223" s="26"/>
      <c r="O223" s="24"/>
      <c r="P223" s="16"/>
      <c r="Q223" s="2">
        <f t="shared" si="16"/>
        <v>1</v>
      </c>
    </row>
    <row r="224" spans="1:17" x14ac:dyDescent="0.3">
      <c r="A224" s="2" t="s">
        <v>146</v>
      </c>
      <c r="B224" s="2" t="s">
        <v>8</v>
      </c>
      <c r="C224" s="2">
        <v>3</v>
      </c>
      <c r="D224" s="2">
        <v>1450</v>
      </c>
      <c r="H224" s="2">
        <f t="shared" si="15"/>
        <v>508.95000000000005</v>
      </c>
      <c r="I224" s="29">
        <v>117</v>
      </c>
      <c r="J224" s="8">
        <f t="shared" si="14"/>
        <v>169.65</v>
      </c>
      <c r="K224" s="2">
        <v>10</v>
      </c>
      <c r="L224" s="21"/>
      <c r="M224" s="14"/>
      <c r="N224" s="26"/>
      <c r="O224" s="24"/>
      <c r="P224" s="16"/>
      <c r="Q224" s="2">
        <f t="shared" si="16"/>
        <v>3</v>
      </c>
    </row>
    <row r="225" spans="1:17" x14ac:dyDescent="0.3">
      <c r="A225" s="2" t="s">
        <v>146</v>
      </c>
      <c r="B225" s="2" t="s">
        <v>8</v>
      </c>
      <c r="C225" s="2">
        <v>3</v>
      </c>
      <c r="D225" s="2">
        <v>3500</v>
      </c>
      <c r="H225" s="2">
        <f t="shared" si="15"/>
        <v>1228.5</v>
      </c>
      <c r="I225" s="29">
        <v>117</v>
      </c>
      <c r="J225" s="8">
        <f t="shared" si="14"/>
        <v>409.5</v>
      </c>
      <c r="K225" s="2">
        <v>10</v>
      </c>
      <c r="L225" s="21"/>
      <c r="M225" s="14"/>
      <c r="N225" s="26"/>
      <c r="O225" s="24"/>
      <c r="P225" s="16"/>
      <c r="Q225" s="2">
        <f t="shared" si="16"/>
        <v>3</v>
      </c>
    </row>
    <row r="226" spans="1:17" x14ac:dyDescent="0.3">
      <c r="A226" s="2" t="s">
        <v>146</v>
      </c>
      <c r="B226" s="2" t="s">
        <v>8</v>
      </c>
      <c r="C226" s="2">
        <v>1</v>
      </c>
      <c r="D226" s="2">
        <v>5100</v>
      </c>
      <c r="H226" s="2">
        <f t="shared" si="15"/>
        <v>596.70000000000005</v>
      </c>
      <c r="I226" s="29">
        <v>117</v>
      </c>
      <c r="J226" s="8">
        <f t="shared" si="14"/>
        <v>596.70000000000005</v>
      </c>
      <c r="K226" s="2">
        <v>10</v>
      </c>
      <c r="L226" s="21"/>
      <c r="M226" s="14"/>
      <c r="N226" s="26"/>
      <c r="O226" s="24"/>
      <c r="P226" s="16"/>
      <c r="Q226" s="2">
        <f t="shared" si="16"/>
        <v>1</v>
      </c>
    </row>
    <row r="227" spans="1:17" x14ac:dyDescent="0.3">
      <c r="A227" s="2" t="s">
        <v>146</v>
      </c>
      <c r="B227" s="2" t="s">
        <v>8</v>
      </c>
      <c r="C227" s="2">
        <v>1</v>
      </c>
      <c r="D227" s="2">
        <v>2500</v>
      </c>
      <c r="H227" s="2">
        <f t="shared" si="15"/>
        <v>292.5</v>
      </c>
      <c r="I227" s="29">
        <v>117</v>
      </c>
      <c r="J227" s="8">
        <f t="shared" si="14"/>
        <v>292.5</v>
      </c>
      <c r="K227" s="2">
        <v>12</v>
      </c>
      <c r="L227" s="21"/>
      <c r="M227" s="14"/>
      <c r="N227" s="26"/>
      <c r="O227" s="24"/>
      <c r="P227" s="16"/>
      <c r="Q227" s="2">
        <f t="shared" si="16"/>
        <v>1</v>
      </c>
    </row>
    <row r="228" spans="1:17" x14ac:dyDescent="0.3">
      <c r="A228" s="2" t="s">
        <v>146</v>
      </c>
      <c r="B228" s="2" t="s">
        <v>77</v>
      </c>
      <c r="C228" s="2">
        <v>1</v>
      </c>
      <c r="D228" s="2">
        <v>6100</v>
      </c>
      <c r="E228" s="2" t="s">
        <v>76</v>
      </c>
      <c r="H228" s="2">
        <f t="shared" si="15"/>
        <v>774.7</v>
      </c>
      <c r="I228" s="29">
        <v>127</v>
      </c>
      <c r="J228" s="8">
        <f t="shared" si="14"/>
        <v>774.7</v>
      </c>
      <c r="K228" s="2">
        <v>5</v>
      </c>
      <c r="L228" s="21"/>
      <c r="M228" s="14"/>
      <c r="N228" s="26"/>
      <c r="O228" s="24"/>
      <c r="P228" s="16"/>
      <c r="Q228" s="2">
        <f t="shared" si="16"/>
        <v>1</v>
      </c>
    </row>
    <row r="229" spans="1:17" x14ac:dyDescent="0.3">
      <c r="A229" s="2" t="s">
        <v>146</v>
      </c>
      <c r="B229" s="2" t="s">
        <v>77</v>
      </c>
      <c r="C229" s="2">
        <v>1</v>
      </c>
      <c r="D229" s="2">
        <v>1500</v>
      </c>
      <c r="E229" s="2" t="s">
        <v>76</v>
      </c>
      <c r="H229" s="2">
        <f t="shared" si="15"/>
        <v>190.5</v>
      </c>
      <c r="I229" s="29">
        <v>127</v>
      </c>
      <c r="J229" s="8">
        <f t="shared" si="14"/>
        <v>190.5</v>
      </c>
      <c r="K229" s="2">
        <v>5</v>
      </c>
      <c r="L229" s="21"/>
      <c r="M229" s="14"/>
      <c r="N229" s="26"/>
      <c r="O229" s="24"/>
      <c r="P229" s="16"/>
      <c r="Q229" s="2">
        <f t="shared" si="16"/>
        <v>1</v>
      </c>
    </row>
    <row r="230" spans="1:17" x14ac:dyDescent="0.3">
      <c r="A230" s="2" t="s">
        <v>146</v>
      </c>
      <c r="B230" s="2" t="s">
        <v>77</v>
      </c>
      <c r="C230" s="2">
        <v>1</v>
      </c>
      <c r="D230" s="2">
        <v>12100</v>
      </c>
      <c r="H230" s="2">
        <f t="shared" si="15"/>
        <v>1536.7</v>
      </c>
      <c r="I230" s="29">
        <v>127</v>
      </c>
      <c r="J230" s="8">
        <f t="shared" si="14"/>
        <v>1536.7</v>
      </c>
      <c r="K230" s="2">
        <v>7</v>
      </c>
      <c r="L230" s="21"/>
      <c r="M230" s="14"/>
      <c r="N230" s="26"/>
      <c r="O230" s="24"/>
      <c r="P230" s="16"/>
      <c r="Q230" s="2">
        <f t="shared" si="16"/>
        <v>1</v>
      </c>
    </row>
    <row r="231" spans="1:17" x14ac:dyDescent="0.3">
      <c r="A231" s="2" t="s">
        <v>146</v>
      </c>
      <c r="B231" s="2" t="s">
        <v>77</v>
      </c>
      <c r="C231" s="2">
        <v>2</v>
      </c>
      <c r="D231" s="2">
        <v>2500</v>
      </c>
      <c r="H231" s="2">
        <f t="shared" si="15"/>
        <v>635</v>
      </c>
      <c r="I231" s="29">
        <v>127</v>
      </c>
      <c r="J231" s="8">
        <f t="shared" si="14"/>
        <v>317.5</v>
      </c>
      <c r="K231" s="2">
        <v>9</v>
      </c>
      <c r="L231" s="21"/>
      <c r="M231" s="14"/>
      <c r="N231" s="26"/>
      <c r="O231" s="24"/>
      <c r="P231" s="16"/>
      <c r="Q231" s="2">
        <f t="shared" si="16"/>
        <v>2</v>
      </c>
    </row>
    <row r="232" spans="1:17" x14ac:dyDescent="0.3">
      <c r="A232" s="2" t="s">
        <v>146</v>
      </c>
      <c r="B232" s="2" t="s">
        <v>77</v>
      </c>
      <c r="C232" s="2">
        <v>1</v>
      </c>
      <c r="D232" s="2">
        <v>1500</v>
      </c>
      <c r="H232" s="2">
        <f t="shared" si="15"/>
        <v>190.5</v>
      </c>
      <c r="I232" s="29">
        <v>127</v>
      </c>
      <c r="J232" s="8">
        <f t="shared" si="14"/>
        <v>190.5</v>
      </c>
      <c r="K232" s="2">
        <v>9</v>
      </c>
      <c r="L232" s="21"/>
      <c r="M232" s="14"/>
      <c r="N232" s="26"/>
      <c r="O232" s="24"/>
      <c r="P232" s="16"/>
      <c r="Q232" s="2">
        <f t="shared" si="16"/>
        <v>1</v>
      </c>
    </row>
    <row r="233" spans="1:17" x14ac:dyDescent="0.3">
      <c r="A233" s="2" t="s">
        <v>146</v>
      </c>
      <c r="B233" s="2" t="s">
        <v>77</v>
      </c>
      <c r="C233" s="2">
        <v>1</v>
      </c>
      <c r="D233" s="2">
        <v>2900</v>
      </c>
      <c r="H233" s="2">
        <f t="shared" si="15"/>
        <v>368.3</v>
      </c>
      <c r="I233" s="29">
        <v>127</v>
      </c>
      <c r="J233" s="8">
        <f t="shared" si="14"/>
        <v>368.3</v>
      </c>
      <c r="K233" s="2">
        <v>10</v>
      </c>
      <c r="L233" s="21"/>
      <c r="M233" s="14"/>
      <c r="N233" s="26"/>
      <c r="O233" s="24"/>
      <c r="P233" s="16"/>
      <c r="Q233" s="2">
        <f t="shared" si="16"/>
        <v>1</v>
      </c>
    </row>
    <row r="234" spans="1:17" x14ac:dyDescent="0.3">
      <c r="A234" s="2" t="s">
        <v>146</v>
      </c>
      <c r="B234" s="2" t="s">
        <v>77</v>
      </c>
      <c r="C234" s="2">
        <v>2</v>
      </c>
      <c r="D234" s="2">
        <v>2500</v>
      </c>
      <c r="H234" s="2">
        <f t="shared" si="15"/>
        <v>635</v>
      </c>
      <c r="I234" s="29">
        <v>127</v>
      </c>
      <c r="J234" s="8">
        <f t="shared" si="14"/>
        <v>317.5</v>
      </c>
      <c r="K234" s="2">
        <v>10</v>
      </c>
      <c r="L234" s="21"/>
      <c r="M234" s="14"/>
      <c r="N234" s="26"/>
      <c r="O234" s="24"/>
      <c r="P234" s="16"/>
      <c r="Q234" s="2">
        <f t="shared" si="16"/>
        <v>2</v>
      </c>
    </row>
    <row r="235" spans="1:17" x14ac:dyDescent="0.3">
      <c r="A235" s="2" t="s">
        <v>146</v>
      </c>
      <c r="B235" s="2" t="s">
        <v>75</v>
      </c>
      <c r="C235" s="2">
        <v>3</v>
      </c>
      <c r="D235" s="2">
        <v>12400</v>
      </c>
      <c r="E235" s="2" t="s">
        <v>76</v>
      </c>
      <c r="F235" s="4">
        <v>83148</v>
      </c>
      <c r="H235" s="2">
        <f t="shared" si="15"/>
        <v>4984.7999999999993</v>
      </c>
      <c r="I235" s="29">
        <v>134</v>
      </c>
      <c r="J235" s="8">
        <f t="shared" si="14"/>
        <v>1661.6</v>
      </c>
      <c r="K235" s="2">
        <v>5</v>
      </c>
      <c r="L235" s="21"/>
      <c r="M235" s="14"/>
      <c r="N235" s="26"/>
      <c r="O235" s="24"/>
      <c r="P235" s="16"/>
      <c r="Q235" s="2">
        <f t="shared" si="16"/>
        <v>3</v>
      </c>
    </row>
    <row r="236" spans="1:17" x14ac:dyDescent="0.3">
      <c r="A236" s="2" t="s">
        <v>146</v>
      </c>
      <c r="B236" s="2" t="s">
        <v>75</v>
      </c>
      <c r="C236" s="2">
        <v>1</v>
      </c>
      <c r="D236" s="2">
        <v>9500</v>
      </c>
      <c r="E236" s="2" t="s">
        <v>76</v>
      </c>
      <c r="F236" s="4">
        <v>83245</v>
      </c>
      <c r="H236" s="2">
        <f t="shared" si="15"/>
        <v>1273</v>
      </c>
      <c r="I236" s="29">
        <v>134</v>
      </c>
      <c r="J236" s="8">
        <f t="shared" si="14"/>
        <v>1273</v>
      </c>
      <c r="K236" s="2">
        <v>5</v>
      </c>
      <c r="L236" s="21"/>
      <c r="M236" s="14"/>
      <c r="N236" s="26"/>
      <c r="O236" s="24"/>
      <c r="P236" s="16"/>
      <c r="Q236" s="2">
        <f t="shared" si="16"/>
        <v>1</v>
      </c>
    </row>
    <row r="237" spans="1:17" x14ac:dyDescent="0.3">
      <c r="A237" s="2" t="s">
        <v>146</v>
      </c>
      <c r="B237" s="2" t="s">
        <v>75</v>
      </c>
      <c r="C237" s="2">
        <v>1</v>
      </c>
      <c r="D237" s="2">
        <v>12400</v>
      </c>
      <c r="E237" s="2" t="s">
        <v>76</v>
      </c>
      <c r="F237" s="4">
        <v>83245</v>
      </c>
      <c r="H237" s="2">
        <f t="shared" si="15"/>
        <v>1661.6</v>
      </c>
      <c r="I237" s="29">
        <v>134</v>
      </c>
      <c r="J237" s="8">
        <f t="shared" si="14"/>
        <v>1661.6</v>
      </c>
      <c r="K237" s="2">
        <v>5</v>
      </c>
      <c r="L237" s="21"/>
      <c r="M237" s="14"/>
      <c r="N237" s="26"/>
      <c r="O237" s="24"/>
      <c r="P237" s="16"/>
      <c r="Q237" s="2">
        <f t="shared" si="16"/>
        <v>1</v>
      </c>
    </row>
    <row r="238" spans="1:17" x14ac:dyDescent="0.3">
      <c r="A238" s="2" t="s">
        <v>146</v>
      </c>
      <c r="B238" s="2" t="s">
        <v>75</v>
      </c>
      <c r="C238" s="2">
        <v>1</v>
      </c>
      <c r="D238" s="2">
        <v>4000</v>
      </c>
      <c r="H238" s="2">
        <f t="shared" si="15"/>
        <v>536</v>
      </c>
      <c r="I238" s="29">
        <v>134</v>
      </c>
      <c r="J238" s="8">
        <f t="shared" si="14"/>
        <v>536</v>
      </c>
      <c r="K238" s="2">
        <v>10</v>
      </c>
      <c r="L238" s="21"/>
      <c r="M238" s="14"/>
      <c r="N238" s="26"/>
      <c r="O238" s="24"/>
      <c r="P238" s="16"/>
      <c r="Q238" s="2">
        <f t="shared" si="16"/>
        <v>1</v>
      </c>
    </row>
    <row r="239" spans="1:17" x14ac:dyDescent="0.3">
      <c r="A239" s="2" t="s">
        <v>146</v>
      </c>
      <c r="B239" s="2" t="s">
        <v>74</v>
      </c>
      <c r="C239" s="2">
        <v>1</v>
      </c>
      <c r="D239" s="2">
        <v>9500</v>
      </c>
      <c r="H239" s="2">
        <f t="shared" si="15"/>
        <v>1472.5</v>
      </c>
      <c r="I239" s="29">
        <v>155</v>
      </c>
      <c r="J239" s="8">
        <f t="shared" ref="J239:J302" si="17">+I239*D239/1000</f>
        <v>1472.5</v>
      </c>
      <c r="K239" s="2">
        <v>5</v>
      </c>
      <c r="L239" s="21"/>
      <c r="M239" s="14"/>
      <c r="N239" s="26"/>
      <c r="O239" s="24"/>
      <c r="P239" s="16"/>
      <c r="Q239" s="2">
        <f t="shared" si="16"/>
        <v>1</v>
      </c>
    </row>
    <row r="240" spans="1:17" x14ac:dyDescent="0.3">
      <c r="A240" s="2" t="s">
        <v>146</v>
      </c>
      <c r="B240" s="2" t="s">
        <v>74</v>
      </c>
      <c r="C240" s="2">
        <v>1</v>
      </c>
      <c r="D240" s="2">
        <v>11200</v>
      </c>
      <c r="H240" s="2">
        <f t="shared" si="15"/>
        <v>1736</v>
      </c>
      <c r="I240" s="29">
        <v>155</v>
      </c>
      <c r="J240" s="8">
        <f t="shared" si="17"/>
        <v>1736</v>
      </c>
      <c r="K240" s="2">
        <v>5</v>
      </c>
      <c r="L240" s="21"/>
      <c r="M240" s="14"/>
      <c r="N240" s="26"/>
      <c r="O240" s="24"/>
      <c r="P240" s="16"/>
      <c r="Q240" s="2">
        <f t="shared" si="16"/>
        <v>1</v>
      </c>
    </row>
    <row r="241" spans="1:17" x14ac:dyDescent="0.3">
      <c r="A241" s="2" t="s">
        <v>146</v>
      </c>
      <c r="B241" s="2" t="s">
        <v>74</v>
      </c>
      <c r="C241" s="2">
        <v>1</v>
      </c>
      <c r="D241" s="2">
        <v>2250</v>
      </c>
      <c r="E241" s="2" t="s">
        <v>33</v>
      </c>
      <c r="H241" s="2">
        <f t="shared" si="15"/>
        <v>348.75</v>
      </c>
      <c r="I241" s="29">
        <v>155</v>
      </c>
      <c r="J241" s="8">
        <f t="shared" si="17"/>
        <v>348.75</v>
      </c>
      <c r="K241" s="2">
        <v>13</v>
      </c>
      <c r="L241" s="21"/>
      <c r="M241" s="14"/>
      <c r="N241" s="26"/>
      <c r="O241" s="24"/>
      <c r="P241" s="16"/>
      <c r="Q241" s="2">
        <f t="shared" si="16"/>
        <v>1</v>
      </c>
    </row>
    <row r="242" spans="1:17" x14ac:dyDescent="0.3">
      <c r="A242" s="2" t="s">
        <v>146</v>
      </c>
      <c r="B242" s="2" t="s">
        <v>74</v>
      </c>
      <c r="C242" s="2">
        <v>4</v>
      </c>
      <c r="D242" s="2">
        <v>4000</v>
      </c>
      <c r="F242" s="4">
        <v>25805</v>
      </c>
      <c r="H242" s="2">
        <f t="shared" si="15"/>
        <v>2480</v>
      </c>
      <c r="I242" s="29">
        <v>155</v>
      </c>
      <c r="J242" s="8">
        <f t="shared" si="17"/>
        <v>620</v>
      </c>
      <c r="K242" s="2">
        <v>13</v>
      </c>
      <c r="L242" s="21"/>
      <c r="M242" s="14"/>
      <c r="N242" s="26"/>
      <c r="O242" s="24"/>
      <c r="P242" s="16"/>
      <c r="Q242" s="2">
        <f t="shared" si="16"/>
        <v>4</v>
      </c>
    </row>
    <row r="243" spans="1:17" x14ac:dyDescent="0.3">
      <c r="A243" s="2" t="s">
        <v>146</v>
      </c>
      <c r="B243" s="2" t="s">
        <v>96</v>
      </c>
      <c r="C243" s="2">
        <v>1</v>
      </c>
      <c r="D243" s="2">
        <v>6500</v>
      </c>
      <c r="E243" s="2" t="s">
        <v>33</v>
      </c>
      <c r="H243" s="2">
        <f t="shared" si="15"/>
        <v>1111.5</v>
      </c>
      <c r="I243" s="29">
        <v>171</v>
      </c>
      <c r="J243" s="8">
        <f t="shared" si="17"/>
        <v>1111.5</v>
      </c>
      <c r="K243" s="2">
        <v>7</v>
      </c>
      <c r="L243" s="21"/>
      <c r="M243" s="14"/>
      <c r="N243" s="26"/>
      <c r="O243" s="24"/>
      <c r="P243" s="16"/>
      <c r="Q243" s="2">
        <f t="shared" si="16"/>
        <v>1</v>
      </c>
    </row>
    <row r="244" spans="1:17" x14ac:dyDescent="0.3">
      <c r="A244" s="2" t="s">
        <v>146</v>
      </c>
      <c r="B244" s="2" t="s">
        <v>96</v>
      </c>
      <c r="C244" s="2">
        <v>1</v>
      </c>
      <c r="D244" s="2">
        <v>4200</v>
      </c>
      <c r="E244" s="2" t="s">
        <v>76</v>
      </c>
      <c r="F244" s="4">
        <v>83717</v>
      </c>
      <c r="H244" s="2">
        <f t="shared" si="15"/>
        <v>718.2</v>
      </c>
      <c r="I244" s="29">
        <v>171</v>
      </c>
      <c r="J244" s="8">
        <f t="shared" si="17"/>
        <v>718.2</v>
      </c>
      <c r="K244" s="2">
        <v>12</v>
      </c>
      <c r="L244" s="21"/>
      <c r="M244" s="14"/>
      <c r="N244" s="26"/>
      <c r="O244" s="24"/>
      <c r="P244" s="16"/>
      <c r="Q244" s="2">
        <f t="shared" si="16"/>
        <v>1</v>
      </c>
    </row>
    <row r="245" spans="1:17" x14ac:dyDescent="0.3">
      <c r="A245" s="2" t="s">
        <v>146</v>
      </c>
      <c r="B245" s="2" t="s">
        <v>72</v>
      </c>
      <c r="C245" s="2">
        <v>1</v>
      </c>
      <c r="D245" s="2">
        <v>8700</v>
      </c>
      <c r="E245" s="2" t="s">
        <v>64</v>
      </c>
      <c r="F245" s="4">
        <v>83711</v>
      </c>
      <c r="H245" s="2">
        <f t="shared" si="15"/>
        <v>1626.9</v>
      </c>
      <c r="I245" s="29">
        <v>187</v>
      </c>
      <c r="J245" s="8">
        <f t="shared" si="17"/>
        <v>1626.9</v>
      </c>
      <c r="K245" s="2">
        <v>4</v>
      </c>
      <c r="L245" s="21"/>
      <c r="M245" s="14"/>
      <c r="N245" s="26"/>
      <c r="O245" s="24"/>
      <c r="P245" s="16"/>
      <c r="Q245" s="2">
        <f t="shared" si="16"/>
        <v>1</v>
      </c>
    </row>
    <row r="246" spans="1:17" x14ac:dyDescent="0.3">
      <c r="A246" s="2" t="s">
        <v>146</v>
      </c>
      <c r="B246" s="2" t="s">
        <v>107</v>
      </c>
      <c r="C246" s="2">
        <v>5</v>
      </c>
      <c r="D246" s="2">
        <v>12100</v>
      </c>
      <c r="E246" s="2" t="s">
        <v>76</v>
      </c>
      <c r="F246" s="4">
        <v>81443</v>
      </c>
      <c r="H246" s="2">
        <f t="shared" si="15"/>
        <v>12826</v>
      </c>
      <c r="I246" s="29">
        <v>212</v>
      </c>
      <c r="J246" s="8">
        <f t="shared" si="17"/>
        <v>2565.1999999999998</v>
      </c>
      <c r="K246" s="2">
        <v>13</v>
      </c>
      <c r="L246" s="21"/>
      <c r="M246" s="14"/>
      <c r="N246" s="26"/>
      <c r="O246" s="24"/>
      <c r="P246" s="16"/>
      <c r="Q246" s="2">
        <f t="shared" si="16"/>
        <v>5</v>
      </c>
    </row>
    <row r="247" spans="1:17" x14ac:dyDescent="0.3">
      <c r="A247" s="2" t="s">
        <v>146</v>
      </c>
      <c r="B247" s="2" t="s">
        <v>107</v>
      </c>
      <c r="C247" s="2">
        <v>1</v>
      </c>
      <c r="D247" s="2">
        <v>6400</v>
      </c>
      <c r="H247" s="2">
        <f t="shared" si="15"/>
        <v>1356.8</v>
      </c>
      <c r="I247" s="29">
        <v>212</v>
      </c>
      <c r="J247" s="8">
        <f t="shared" si="17"/>
        <v>1356.8</v>
      </c>
      <c r="K247" s="2">
        <v>13</v>
      </c>
      <c r="L247" s="21"/>
      <c r="M247" s="14"/>
      <c r="N247" s="26"/>
      <c r="O247" s="24"/>
      <c r="P247" s="16"/>
      <c r="Q247" s="2">
        <f t="shared" si="16"/>
        <v>1</v>
      </c>
    </row>
    <row r="248" spans="1:17" x14ac:dyDescent="0.3">
      <c r="A248" s="2" t="s">
        <v>146</v>
      </c>
      <c r="B248" s="2" t="s">
        <v>61</v>
      </c>
      <c r="C248" s="2">
        <v>1</v>
      </c>
      <c r="D248" s="2">
        <v>5300</v>
      </c>
      <c r="E248" s="2" t="s">
        <v>19</v>
      </c>
      <c r="F248" s="4">
        <v>26855</v>
      </c>
      <c r="H248" s="2">
        <f t="shared" si="15"/>
        <v>1388.6</v>
      </c>
      <c r="I248" s="29">
        <v>262</v>
      </c>
      <c r="J248" s="8">
        <f t="shared" si="17"/>
        <v>1388.6</v>
      </c>
      <c r="K248" s="2">
        <v>3</v>
      </c>
      <c r="L248" s="21">
        <v>46161</v>
      </c>
      <c r="M248" s="14">
        <v>1</v>
      </c>
      <c r="N248" s="26"/>
      <c r="O248" s="24"/>
      <c r="P248" s="16"/>
      <c r="Q248" s="2">
        <f t="shared" si="16"/>
        <v>0</v>
      </c>
    </row>
    <row r="249" spans="1:17" x14ac:dyDescent="0.3">
      <c r="A249" s="2" t="s">
        <v>146</v>
      </c>
      <c r="B249" s="2" t="s">
        <v>61</v>
      </c>
      <c r="C249" s="2">
        <v>1</v>
      </c>
      <c r="D249" s="2">
        <v>6400</v>
      </c>
      <c r="E249" s="2" t="s">
        <v>19</v>
      </c>
      <c r="F249" s="4" t="s">
        <v>62</v>
      </c>
      <c r="H249" s="2">
        <f t="shared" si="15"/>
        <v>1676.8</v>
      </c>
      <c r="I249" s="29">
        <v>262</v>
      </c>
      <c r="J249" s="8">
        <f t="shared" si="17"/>
        <v>1676.8</v>
      </c>
      <c r="K249" s="2">
        <v>3</v>
      </c>
      <c r="L249" s="21">
        <v>46161</v>
      </c>
      <c r="M249" s="14">
        <v>1</v>
      </c>
      <c r="N249" s="26"/>
      <c r="O249" s="24"/>
      <c r="P249" s="16"/>
      <c r="Q249" s="2">
        <f t="shared" si="16"/>
        <v>0</v>
      </c>
    </row>
    <row r="250" spans="1:17" x14ac:dyDescent="0.3">
      <c r="A250" s="2" t="s">
        <v>146</v>
      </c>
      <c r="B250" s="2" t="s">
        <v>61</v>
      </c>
      <c r="C250" s="2">
        <v>1</v>
      </c>
      <c r="D250" s="2">
        <v>9900</v>
      </c>
      <c r="E250" s="2" t="s">
        <v>19</v>
      </c>
      <c r="H250" s="2">
        <f t="shared" si="15"/>
        <v>2593.8000000000002</v>
      </c>
      <c r="I250" s="29">
        <v>262</v>
      </c>
      <c r="J250" s="8">
        <f t="shared" si="17"/>
        <v>2593.8000000000002</v>
      </c>
      <c r="K250" s="2">
        <v>3</v>
      </c>
      <c r="L250" s="21">
        <v>46161</v>
      </c>
      <c r="M250" s="14">
        <v>1</v>
      </c>
      <c r="N250" s="26"/>
      <c r="O250" s="24"/>
      <c r="P250" s="16"/>
      <c r="Q250" s="2">
        <f t="shared" si="16"/>
        <v>0</v>
      </c>
    </row>
    <row r="251" spans="1:17" x14ac:dyDescent="0.3">
      <c r="A251" s="2" t="s">
        <v>146</v>
      </c>
      <c r="B251" s="2" t="s">
        <v>61</v>
      </c>
      <c r="C251" s="2">
        <v>1</v>
      </c>
      <c r="D251" s="2">
        <v>10200</v>
      </c>
      <c r="E251" s="2" t="s">
        <v>19</v>
      </c>
      <c r="H251" s="2">
        <f t="shared" si="15"/>
        <v>2672.4</v>
      </c>
      <c r="I251" s="29">
        <v>262</v>
      </c>
      <c r="J251" s="8">
        <f t="shared" si="17"/>
        <v>2672.4</v>
      </c>
      <c r="K251" s="2">
        <v>3</v>
      </c>
      <c r="L251" s="21">
        <v>46161</v>
      </c>
      <c r="M251" s="14">
        <v>1</v>
      </c>
      <c r="N251" s="26"/>
      <c r="O251" s="24"/>
      <c r="P251" s="16"/>
      <c r="Q251" s="2">
        <f t="shared" si="16"/>
        <v>0</v>
      </c>
    </row>
    <row r="252" spans="1:17" x14ac:dyDescent="0.3">
      <c r="A252" s="2" t="s">
        <v>146</v>
      </c>
      <c r="B252" s="2" t="s">
        <v>61</v>
      </c>
      <c r="C252" s="2">
        <v>1</v>
      </c>
      <c r="D252" s="2">
        <v>7000</v>
      </c>
      <c r="E252" s="2" t="s">
        <v>76</v>
      </c>
      <c r="F252" s="4">
        <v>80369</v>
      </c>
      <c r="H252" s="2">
        <f t="shared" si="15"/>
        <v>1834</v>
      </c>
      <c r="I252" s="29">
        <v>262</v>
      </c>
      <c r="J252" s="8">
        <f t="shared" si="17"/>
        <v>1834</v>
      </c>
      <c r="K252" s="2">
        <v>13</v>
      </c>
      <c r="L252" s="21">
        <v>46161</v>
      </c>
      <c r="M252" s="14">
        <v>1</v>
      </c>
      <c r="N252" s="26"/>
      <c r="O252" s="24"/>
      <c r="P252" s="16"/>
      <c r="Q252" s="2">
        <f t="shared" si="16"/>
        <v>0</v>
      </c>
    </row>
    <row r="253" spans="1:17" x14ac:dyDescent="0.3">
      <c r="A253" s="2" t="s">
        <v>146</v>
      </c>
      <c r="B253" s="2" t="s">
        <v>61</v>
      </c>
      <c r="C253" s="2">
        <v>1</v>
      </c>
      <c r="D253" s="2">
        <v>11000</v>
      </c>
      <c r="E253" s="2" t="s">
        <v>19</v>
      </c>
      <c r="F253" s="4">
        <v>80865</v>
      </c>
      <c r="H253" s="2">
        <f t="shared" si="15"/>
        <v>2882</v>
      </c>
      <c r="I253" s="29">
        <v>262</v>
      </c>
      <c r="J253" s="8">
        <f t="shared" si="17"/>
        <v>2882</v>
      </c>
      <c r="K253" s="2">
        <v>13</v>
      </c>
      <c r="L253" s="21">
        <v>46161</v>
      </c>
      <c r="M253" s="14">
        <v>1</v>
      </c>
      <c r="N253" s="26"/>
      <c r="O253" s="24"/>
      <c r="P253" s="16"/>
      <c r="Q253" s="2">
        <f t="shared" si="16"/>
        <v>0</v>
      </c>
    </row>
    <row r="254" spans="1:17" x14ac:dyDescent="0.3">
      <c r="A254" s="2" t="s">
        <v>146</v>
      </c>
      <c r="B254" s="2" t="s">
        <v>68</v>
      </c>
      <c r="C254" s="2">
        <v>1</v>
      </c>
      <c r="D254" s="2">
        <v>1800</v>
      </c>
      <c r="H254" s="2">
        <f t="shared" si="15"/>
        <v>93.78</v>
      </c>
      <c r="I254" s="29">
        <v>52.1</v>
      </c>
      <c r="J254" s="8">
        <f t="shared" si="17"/>
        <v>93.78</v>
      </c>
      <c r="K254" s="2">
        <v>4</v>
      </c>
      <c r="L254" s="21"/>
      <c r="M254" s="14"/>
      <c r="N254" s="26"/>
      <c r="O254" s="24"/>
      <c r="P254" s="16"/>
      <c r="Q254" s="2">
        <f t="shared" si="16"/>
        <v>1</v>
      </c>
    </row>
    <row r="255" spans="1:17" x14ac:dyDescent="0.3">
      <c r="A255" s="2" t="s">
        <v>146</v>
      </c>
      <c r="B255" s="2" t="s">
        <v>68</v>
      </c>
      <c r="C255" s="2">
        <v>1</v>
      </c>
      <c r="D255" s="2">
        <v>1100</v>
      </c>
      <c r="H255" s="2">
        <f t="shared" si="15"/>
        <v>57.31</v>
      </c>
      <c r="I255" s="29">
        <v>52.1</v>
      </c>
      <c r="J255" s="8">
        <f t="shared" si="17"/>
        <v>57.31</v>
      </c>
      <c r="K255" s="2">
        <v>4</v>
      </c>
      <c r="L255" s="21"/>
      <c r="M255" s="14"/>
      <c r="N255" s="26"/>
      <c r="O255" s="24"/>
      <c r="P255" s="16"/>
      <c r="Q255" s="2">
        <f t="shared" si="16"/>
        <v>1</v>
      </c>
    </row>
    <row r="256" spans="1:17" x14ac:dyDescent="0.3">
      <c r="A256" s="2" t="s">
        <v>146</v>
      </c>
      <c r="B256" s="2" t="s">
        <v>68</v>
      </c>
      <c r="C256" s="2">
        <v>1</v>
      </c>
      <c r="D256" s="2">
        <v>3900</v>
      </c>
      <c r="H256" s="2">
        <f t="shared" si="15"/>
        <v>203.19</v>
      </c>
      <c r="I256" s="29">
        <v>52.1</v>
      </c>
      <c r="J256" s="8">
        <f t="shared" si="17"/>
        <v>203.19</v>
      </c>
      <c r="K256" s="2">
        <v>4</v>
      </c>
      <c r="L256" s="21"/>
      <c r="M256" s="14"/>
      <c r="N256" s="26"/>
      <c r="O256" s="24"/>
      <c r="P256" s="16"/>
      <c r="Q256" s="2">
        <f t="shared" si="16"/>
        <v>1</v>
      </c>
    </row>
    <row r="257" spans="1:17" x14ac:dyDescent="0.3">
      <c r="A257" s="2" t="s">
        <v>146</v>
      </c>
      <c r="B257" s="2" t="s">
        <v>69</v>
      </c>
      <c r="C257" s="2">
        <v>1</v>
      </c>
      <c r="D257" s="2">
        <v>8500</v>
      </c>
      <c r="H257" s="2">
        <f t="shared" si="15"/>
        <v>537.20000000000005</v>
      </c>
      <c r="I257" s="29">
        <v>63.2</v>
      </c>
      <c r="J257" s="8">
        <f t="shared" si="17"/>
        <v>537.20000000000005</v>
      </c>
      <c r="K257" s="2">
        <v>4</v>
      </c>
      <c r="L257" s="21"/>
      <c r="M257" s="14"/>
      <c r="N257" s="26"/>
      <c r="O257" s="24"/>
      <c r="P257" s="16"/>
      <c r="Q257" s="2">
        <f t="shared" si="16"/>
        <v>1</v>
      </c>
    </row>
    <row r="258" spans="1:17" x14ac:dyDescent="0.3">
      <c r="A258" s="2" t="s">
        <v>146</v>
      </c>
      <c r="B258" s="2" t="s">
        <v>104</v>
      </c>
      <c r="C258" s="2">
        <v>4</v>
      </c>
      <c r="D258" s="2">
        <v>1750</v>
      </c>
      <c r="H258" s="2">
        <f t="shared" si="15"/>
        <v>1666</v>
      </c>
      <c r="I258" s="29">
        <v>238</v>
      </c>
      <c r="J258" s="8">
        <f t="shared" si="17"/>
        <v>416.5</v>
      </c>
      <c r="K258" s="2">
        <v>12</v>
      </c>
      <c r="L258" s="21"/>
      <c r="M258" s="14"/>
      <c r="N258" s="26"/>
      <c r="O258" s="24"/>
      <c r="P258" s="16"/>
      <c r="Q258" s="2">
        <f t="shared" si="16"/>
        <v>4</v>
      </c>
    </row>
    <row r="259" spans="1:17" x14ac:dyDescent="0.3">
      <c r="A259" s="2" t="s">
        <v>146</v>
      </c>
      <c r="B259" s="2" t="s">
        <v>108</v>
      </c>
      <c r="C259" s="2">
        <v>1</v>
      </c>
      <c r="D259" s="2">
        <v>7100</v>
      </c>
      <c r="H259" s="2">
        <f t="shared" ref="H259:H322" si="18">+J259*C259</f>
        <v>2023.5</v>
      </c>
      <c r="I259" s="29">
        <v>285</v>
      </c>
      <c r="J259" s="8">
        <f t="shared" si="17"/>
        <v>2023.5</v>
      </c>
      <c r="K259" s="2">
        <v>13</v>
      </c>
      <c r="L259" s="21"/>
      <c r="M259" s="14"/>
      <c r="N259" s="26"/>
      <c r="O259" s="24"/>
      <c r="P259" s="16"/>
      <c r="Q259" s="2">
        <f t="shared" si="16"/>
        <v>1</v>
      </c>
    </row>
    <row r="260" spans="1:17" x14ac:dyDescent="0.3">
      <c r="A260" s="2" t="s">
        <v>146</v>
      </c>
      <c r="B260" s="2" t="s">
        <v>5</v>
      </c>
      <c r="C260" s="2">
        <v>3</v>
      </c>
      <c r="D260" s="2">
        <v>12100</v>
      </c>
      <c r="E260" s="2" t="s">
        <v>12</v>
      </c>
      <c r="H260" s="2">
        <f t="shared" si="18"/>
        <v>294.03000000000003</v>
      </c>
      <c r="I260" s="29">
        <v>8.1</v>
      </c>
      <c r="J260" s="8">
        <f t="shared" si="17"/>
        <v>98.01</v>
      </c>
      <c r="K260" s="2">
        <v>1</v>
      </c>
      <c r="L260" s="21"/>
      <c r="M260" s="14"/>
      <c r="N260" s="26"/>
      <c r="O260" s="24"/>
      <c r="P260" s="16"/>
      <c r="Q260" s="2">
        <f t="shared" si="16"/>
        <v>3</v>
      </c>
    </row>
    <row r="261" spans="1:17" x14ac:dyDescent="0.3">
      <c r="A261" s="2" t="s">
        <v>146</v>
      </c>
      <c r="B261" s="2" t="s">
        <v>5</v>
      </c>
      <c r="C261" s="2">
        <v>1</v>
      </c>
      <c r="D261" s="2">
        <v>5300</v>
      </c>
      <c r="E261" s="2" t="s">
        <v>12</v>
      </c>
      <c r="H261" s="2">
        <f t="shared" si="18"/>
        <v>42.93</v>
      </c>
      <c r="I261" s="29">
        <v>8.1</v>
      </c>
      <c r="J261" s="8">
        <f t="shared" si="17"/>
        <v>42.93</v>
      </c>
      <c r="K261" s="2">
        <v>1</v>
      </c>
      <c r="L261" s="21"/>
      <c r="M261" s="14"/>
      <c r="N261" s="26"/>
      <c r="O261" s="24"/>
      <c r="P261" s="16"/>
      <c r="Q261" s="2">
        <f t="shared" si="16"/>
        <v>1</v>
      </c>
    </row>
    <row r="262" spans="1:17" x14ac:dyDescent="0.3">
      <c r="A262" s="2" t="s">
        <v>146</v>
      </c>
      <c r="B262" s="2" t="s">
        <v>80</v>
      </c>
      <c r="C262" s="2">
        <v>1</v>
      </c>
      <c r="D262" s="2">
        <v>4500</v>
      </c>
      <c r="H262" s="2">
        <f t="shared" si="18"/>
        <v>46.8</v>
      </c>
      <c r="I262" s="29">
        <v>10.4</v>
      </c>
      <c r="J262" s="8">
        <f t="shared" si="17"/>
        <v>46.8</v>
      </c>
      <c r="K262" s="2">
        <v>6</v>
      </c>
      <c r="L262" s="21"/>
      <c r="M262" s="14"/>
      <c r="N262" s="26"/>
      <c r="O262" s="24"/>
      <c r="P262" s="16"/>
      <c r="Q262" s="2">
        <f t="shared" si="16"/>
        <v>1</v>
      </c>
    </row>
    <row r="263" spans="1:17" x14ac:dyDescent="0.3">
      <c r="A263" s="2" t="s">
        <v>146</v>
      </c>
      <c r="B263" s="2" t="s">
        <v>80</v>
      </c>
      <c r="C263" s="2">
        <v>15</v>
      </c>
      <c r="D263" s="2">
        <v>12100</v>
      </c>
      <c r="E263" s="2" t="s">
        <v>64</v>
      </c>
      <c r="F263" s="4" t="s">
        <v>88</v>
      </c>
      <c r="H263" s="2">
        <f t="shared" si="18"/>
        <v>1887.6000000000001</v>
      </c>
      <c r="I263" s="29">
        <v>10.4</v>
      </c>
      <c r="J263" s="8">
        <f t="shared" si="17"/>
        <v>125.84</v>
      </c>
      <c r="K263" s="2">
        <v>7</v>
      </c>
      <c r="L263" s="21"/>
      <c r="M263" s="14"/>
      <c r="N263" s="26"/>
      <c r="O263" s="24"/>
      <c r="P263" s="16"/>
      <c r="Q263" s="2">
        <f t="shared" si="16"/>
        <v>15</v>
      </c>
    </row>
    <row r="264" spans="1:17" x14ac:dyDescent="0.3">
      <c r="A264" s="2" t="s">
        <v>146</v>
      </c>
      <c r="B264" s="2" t="s">
        <v>80</v>
      </c>
      <c r="C264" s="2">
        <v>1</v>
      </c>
      <c r="D264" s="2">
        <v>6300</v>
      </c>
      <c r="E264" s="2" t="s">
        <v>64</v>
      </c>
      <c r="F264" s="4" t="s">
        <v>88</v>
      </c>
      <c r="H264" s="2">
        <f t="shared" si="18"/>
        <v>65.52</v>
      </c>
      <c r="I264" s="29">
        <v>10.4</v>
      </c>
      <c r="J264" s="8">
        <f t="shared" si="17"/>
        <v>65.52</v>
      </c>
      <c r="K264" s="2">
        <v>7</v>
      </c>
      <c r="L264" s="21"/>
      <c r="M264" s="14"/>
      <c r="N264" s="26"/>
      <c r="O264" s="24"/>
      <c r="P264" s="16"/>
      <c r="Q264" s="2">
        <f t="shared" si="16"/>
        <v>1</v>
      </c>
    </row>
    <row r="265" spans="1:17" x14ac:dyDescent="0.3">
      <c r="A265" s="2" t="s">
        <v>146</v>
      </c>
      <c r="B265" s="2" t="s">
        <v>80</v>
      </c>
      <c r="C265" s="2">
        <v>4</v>
      </c>
      <c r="D265" s="2">
        <v>6000</v>
      </c>
      <c r="H265" s="2">
        <f t="shared" si="18"/>
        <v>249.6</v>
      </c>
      <c r="I265" s="29">
        <v>10.4</v>
      </c>
      <c r="J265" s="8">
        <f t="shared" si="17"/>
        <v>62.4</v>
      </c>
      <c r="K265" s="2">
        <v>10</v>
      </c>
      <c r="L265" s="21"/>
      <c r="M265" s="14"/>
      <c r="N265" s="26"/>
      <c r="O265" s="24"/>
      <c r="P265" s="16"/>
      <c r="Q265" s="2">
        <f t="shared" si="16"/>
        <v>4</v>
      </c>
    </row>
    <row r="266" spans="1:17" x14ac:dyDescent="0.3">
      <c r="A266" s="2" t="s">
        <v>146</v>
      </c>
      <c r="B266" s="2" t="s">
        <v>80</v>
      </c>
      <c r="C266" s="2">
        <v>2</v>
      </c>
      <c r="D266" s="2">
        <v>2700</v>
      </c>
      <c r="H266" s="2">
        <f t="shared" si="18"/>
        <v>56.16</v>
      </c>
      <c r="I266" s="29">
        <v>10.4</v>
      </c>
      <c r="J266" s="8">
        <f t="shared" si="17"/>
        <v>28.08</v>
      </c>
      <c r="K266" s="2">
        <v>11</v>
      </c>
      <c r="L266" s="21"/>
      <c r="M266" s="14"/>
      <c r="N266" s="26"/>
      <c r="O266" s="24"/>
      <c r="P266" s="16"/>
      <c r="Q266" s="2">
        <f t="shared" si="16"/>
        <v>2</v>
      </c>
    </row>
    <row r="267" spans="1:17" x14ac:dyDescent="0.3">
      <c r="A267" s="2" t="s">
        <v>146</v>
      </c>
      <c r="B267" s="2" t="s">
        <v>80</v>
      </c>
      <c r="C267" s="2">
        <v>19</v>
      </c>
      <c r="D267" s="2">
        <v>1800</v>
      </c>
      <c r="H267" s="2">
        <f t="shared" si="18"/>
        <v>355.67999999999995</v>
      </c>
      <c r="I267" s="29">
        <v>10.4</v>
      </c>
      <c r="J267" s="8">
        <f t="shared" si="17"/>
        <v>18.72</v>
      </c>
      <c r="K267" s="2">
        <v>11</v>
      </c>
      <c r="L267" s="21"/>
      <c r="M267" s="14"/>
      <c r="N267" s="26"/>
      <c r="O267" s="24"/>
      <c r="P267" s="16"/>
      <c r="Q267" s="2">
        <f t="shared" si="16"/>
        <v>19</v>
      </c>
    </row>
    <row r="268" spans="1:17" x14ac:dyDescent="0.3">
      <c r="A268" s="2" t="s">
        <v>146</v>
      </c>
      <c r="B268" s="2" t="s">
        <v>80</v>
      </c>
      <c r="C268" s="2">
        <v>9</v>
      </c>
      <c r="D268" s="2">
        <v>2300</v>
      </c>
      <c r="H268" s="2">
        <f t="shared" si="18"/>
        <v>215.28000000000003</v>
      </c>
      <c r="I268" s="29">
        <v>10.4</v>
      </c>
      <c r="J268" s="8">
        <f t="shared" si="17"/>
        <v>23.92</v>
      </c>
      <c r="K268" s="2">
        <v>11</v>
      </c>
      <c r="L268" s="21"/>
      <c r="M268" s="14"/>
      <c r="N268" s="26"/>
      <c r="O268" s="24"/>
      <c r="P268" s="16"/>
      <c r="Q268" s="2">
        <f t="shared" si="16"/>
        <v>9</v>
      </c>
    </row>
    <row r="269" spans="1:17" x14ac:dyDescent="0.3">
      <c r="A269" s="2" t="s">
        <v>146</v>
      </c>
      <c r="B269" s="2" t="s">
        <v>58</v>
      </c>
      <c r="C269" s="2">
        <v>5</v>
      </c>
      <c r="D269" s="2">
        <v>12100</v>
      </c>
      <c r="H269" s="2">
        <f t="shared" si="18"/>
        <v>780.45</v>
      </c>
      <c r="I269" s="29">
        <v>12.9</v>
      </c>
      <c r="J269" s="8">
        <f t="shared" si="17"/>
        <v>156.09</v>
      </c>
      <c r="K269" s="2">
        <v>3</v>
      </c>
      <c r="L269" s="21"/>
      <c r="M269" s="14"/>
      <c r="N269" s="26"/>
      <c r="O269" s="24"/>
      <c r="P269" s="16"/>
      <c r="Q269" s="2">
        <f t="shared" si="16"/>
        <v>5</v>
      </c>
    </row>
    <row r="270" spans="1:17" x14ac:dyDescent="0.3">
      <c r="A270" s="2" t="s">
        <v>146</v>
      </c>
      <c r="B270" s="2" t="s">
        <v>56</v>
      </c>
      <c r="C270" s="2">
        <v>3</v>
      </c>
      <c r="D270" s="2">
        <v>12100</v>
      </c>
      <c r="H270" s="2">
        <f t="shared" si="18"/>
        <v>573.54</v>
      </c>
      <c r="I270" s="29">
        <v>15.8</v>
      </c>
      <c r="J270" s="8">
        <f t="shared" si="17"/>
        <v>191.18</v>
      </c>
      <c r="K270" s="2">
        <v>3</v>
      </c>
      <c r="L270" s="21"/>
      <c r="M270" s="14"/>
      <c r="N270" s="26"/>
      <c r="O270" s="24"/>
      <c r="P270" s="16"/>
      <c r="Q270" s="2">
        <f t="shared" si="16"/>
        <v>3</v>
      </c>
    </row>
    <row r="271" spans="1:17" x14ac:dyDescent="0.3">
      <c r="A271" s="2" t="s">
        <v>146</v>
      </c>
      <c r="B271" s="2" t="s">
        <v>56</v>
      </c>
      <c r="C271" s="2">
        <v>7</v>
      </c>
      <c r="D271" s="2">
        <v>2300</v>
      </c>
      <c r="H271" s="2">
        <f t="shared" si="18"/>
        <v>254.38000000000002</v>
      </c>
      <c r="I271" s="29">
        <v>15.8</v>
      </c>
      <c r="J271" s="8">
        <f t="shared" si="17"/>
        <v>36.340000000000003</v>
      </c>
      <c r="K271" s="2">
        <v>8</v>
      </c>
      <c r="L271" s="21"/>
      <c r="M271" s="14"/>
      <c r="N271" s="26"/>
      <c r="O271" s="24"/>
      <c r="P271" s="16"/>
      <c r="Q271" s="2">
        <f t="shared" si="16"/>
        <v>7</v>
      </c>
    </row>
    <row r="272" spans="1:17" x14ac:dyDescent="0.3">
      <c r="A272" s="2" t="s">
        <v>146</v>
      </c>
      <c r="B272" s="2" t="s">
        <v>56</v>
      </c>
      <c r="C272" s="2">
        <v>1</v>
      </c>
      <c r="D272" s="2">
        <v>6600</v>
      </c>
      <c r="H272" s="2">
        <f t="shared" si="18"/>
        <v>104.28</v>
      </c>
      <c r="I272" s="29">
        <v>15.8</v>
      </c>
      <c r="J272" s="8">
        <f t="shared" si="17"/>
        <v>104.28</v>
      </c>
      <c r="K272" s="2">
        <v>10</v>
      </c>
      <c r="L272" s="21"/>
      <c r="M272" s="14"/>
      <c r="N272" s="26"/>
      <c r="O272" s="24"/>
      <c r="P272" s="16"/>
      <c r="Q272" s="2">
        <f t="shared" si="16"/>
        <v>1</v>
      </c>
    </row>
    <row r="273" spans="1:17" x14ac:dyDescent="0.3">
      <c r="A273" s="2" t="s">
        <v>146</v>
      </c>
      <c r="B273" s="2" t="s">
        <v>31</v>
      </c>
      <c r="C273" s="2">
        <v>14</v>
      </c>
      <c r="D273" s="2">
        <v>12100</v>
      </c>
      <c r="H273" s="2">
        <f t="shared" si="18"/>
        <v>3184.72</v>
      </c>
      <c r="I273" s="29">
        <v>18.8</v>
      </c>
      <c r="J273" s="8">
        <f t="shared" si="17"/>
        <v>227.48</v>
      </c>
      <c r="K273" s="2">
        <v>1</v>
      </c>
      <c r="L273" s="21">
        <v>46154</v>
      </c>
      <c r="M273" s="14">
        <v>10</v>
      </c>
      <c r="N273" s="26"/>
      <c r="O273" s="24"/>
      <c r="P273" s="16"/>
      <c r="Q273" s="2">
        <f t="shared" si="16"/>
        <v>4</v>
      </c>
    </row>
    <row r="274" spans="1:17" x14ac:dyDescent="0.3">
      <c r="A274" s="2" t="s">
        <v>146</v>
      </c>
      <c r="B274" s="2" t="s">
        <v>31</v>
      </c>
      <c r="C274" s="2">
        <v>1</v>
      </c>
      <c r="D274" s="2">
        <v>2900</v>
      </c>
      <c r="H274" s="2">
        <f t="shared" si="18"/>
        <v>54.52</v>
      </c>
      <c r="I274" s="29">
        <v>18.8</v>
      </c>
      <c r="J274" s="8">
        <f t="shared" si="17"/>
        <v>54.52</v>
      </c>
      <c r="K274" s="2">
        <v>6</v>
      </c>
      <c r="L274" s="21"/>
      <c r="M274" s="14"/>
      <c r="N274" s="26"/>
      <c r="O274" s="24"/>
      <c r="P274" s="16"/>
      <c r="Q274" s="2">
        <f t="shared" si="16"/>
        <v>1</v>
      </c>
    </row>
    <row r="275" spans="1:17" x14ac:dyDescent="0.3">
      <c r="A275" s="2" t="s">
        <v>146</v>
      </c>
      <c r="B275" s="2" t="s">
        <v>31</v>
      </c>
      <c r="C275" s="2">
        <v>4</v>
      </c>
      <c r="D275" s="2">
        <v>10100</v>
      </c>
      <c r="H275" s="2">
        <f t="shared" si="18"/>
        <v>759.52</v>
      </c>
      <c r="I275" s="29">
        <v>18.8</v>
      </c>
      <c r="J275" s="8">
        <f t="shared" si="17"/>
        <v>189.88</v>
      </c>
      <c r="K275" s="2">
        <v>6</v>
      </c>
      <c r="L275" s="21"/>
      <c r="M275" s="14"/>
      <c r="N275" s="26"/>
      <c r="O275" s="24"/>
      <c r="P275" s="16"/>
      <c r="Q275" s="2">
        <f t="shared" si="16"/>
        <v>4</v>
      </c>
    </row>
    <row r="276" spans="1:17" x14ac:dyDescent="0.3">
      <c r="A276" s="2" t="s">
        <v>146</v>
      </c>
      <c r="B276" s="2" t="s">
        <v>31</v>
      </c>
      <c r="C276" s="2">
        <v>7</v>
      </c>
      <c r="D276" s="2">
        <v>12100</v>
      </c>
      <c r="E276" s="2" t="s">
        <v>19</v>
      </c>
      <c r="F276" s="5" t="s">
        <v>92</v>
      </c>
      <c r="H276" s="2">
        <f t="shared" si="18"/>
        <v>1592.36</v>
      </c>
      <c r="I276" s="29">
        <v>18.8</v>
      </c>
      <c r="J276" s="8">
        <f t="shared" si="17"/>
        <v>227.48</v>
      </c>
      <c r="K276" s="2">
        <v>7</v>
      </c>
      <c r="L276" s="21"/>
      <c r="M276" s="14"/>
      <c r="N276" s="26"/>
      <c r="O276" s="24"/>
      <c r="P276" s="16"/>
      <c r="Q276" s="2">
        <f t="shared" si="16"/>
        <v>7</v>
      </c>
    </row>
    <row r="277" spans="1:17" x14ac:dyDescent="0.3">
      <c r="A277" s="2" t="s">
        <v>146</v>
      </c>
      <c r="B277" s="2" t="s">
        <v>31</v>
      </c>
      <c r="C277" s="2">
        <v>3</v>
      </c>
      <c r="D277" s="2">
        <v>12100</v>
      </c>
      <c r="H277" s="2">
        <f t="shared" si="18"/>
        <v>682.43999999999994</v>
      </c>
      <c r="I277" s="29">
        <v>18.8</v>
      </c>
      <c r="J277" s="8">
        <f t="shared" si="17"/>
        <v>227.48</v>
      </c>
      <c r="K277" s="2">
        <v>7</v>
      </c>
      <c r="L277" s="21">
        <v>46153</v>
      </c>
      <c r="M277" s="14">
        <v>3</v>
      </c>
      <c r="N277" s="26"/>
      <c r="O277" s="24"/>
      <c r="P277" s="16"/>
      <c r="Q277" s="2">
        <f t="shared" ref="Q277:Q340" si="19">C277-M277+P277</f>
        <v>0</v>
      </c>
    </row>
    <row r="278" spans="1:17" x14ac:dyDescent="0.3">
      <c r="A278" s="2" t="s">
        <v>146</v>
      </c>
      <c r="B278" s="2" t="s">
        <v>31</v>
      </c>
      <c r="C278" s="2">
        <v>7</v>
      </c>
      <c r="D278" s="2">
        <v>1700</v>
      </c>
      <c r="H278" s="2">
        <f t="shared" si="18"/>
        <v>223.72</v>
      </c>
      <c r="I278" s="29">
        <v>18.8</v>
      </c>
      <c r="J278" s="8">
        <f t="shared" si="17"/>
        <v>31.96</v>
      </c>
      <c r="K278" s="2">
        <v>9</v>
      </c>
      <c r="L278" s="21"/>
      <c r="M278" s="14"/>
      <c r="N278" s="26"/>
      <c r="O278" s="24"/>
      <c r="P278" s="16"/>
      <c r="Q278" s="2">
        <f t="shared" si="19"/>
        <v>7</v>
      </c>
    </row>
    <row r="279" spans="1:17" x14ac:dyDescent="0.3">
      <c r="A279" s="2" t="s">
        <v>146</v>
      </c>
      <c r="B279" s="2" t="s">
        <v>31</v>
      </c>
      <c r="C279" s="2">
        <v>1</v>
      </c>
      <c r="D279" s="2">
        <v>7600</v>
      </c>
      <c r="H279" s="2">
        <f t="shared" si="18"/>
        <v>142.88</v>
      </c>
      <c r="I279" s="29">
        <v>18.8</v>
      </c>
      <c r="J279" s="8">
        <f t="shared" si="17"/>
        <v>142.88</v>
      </c>
      <c r="K279" s="2">
        <v>10</v>
      </c>
      <c r="L279" s="21"/>
      <c r="M279" s="14"/>
      <c r="N279" s="26"/>
      <c r="O279" s="24"/>
      <c r="P279" s="16"/>
      <c r="Q279" s="2">
        <f t="shared" si="19"/>
        <v>1</v>
      </c>
    </row>
    <row r="280" spans="1:17" x14ac:dyDescent="0.3">
      <c r="A280" s="2" t="s">
        <v>146</v>
      </c>
      <c r="B280" s="2" t="s">
        <v>52</v>
      </c>
      <c r="C280" s="2">
        <v>3</v>
      </c>
      <c r="D280" s="2">
        <v>12100</v>
      </c>
      <c r="H280" s="2">
        <f t="shared" si="18"/>
        <v>813.12000000000012</v>
      </c>
      <c r="I280" s="29">
        <v>22.4</v>
      </c>
      <c r="J280" s="8">
        <f t="shared" si="17"/>
        <v>271.04000000000002</v>
      </c>
      <c r="K280" s="2">
        <v>3</v>
      </c>
      <c r="L280" s="21"/>
      <c r="M280" s="14"/>
      <c r="N280" s="26"/>
      <c r="O280" s="24"/>
      <c r="P280" s="16"/>
      <c r="Q280" s="2">
        <f t="shared" si="19"/>
        <v>3</v>
      </c>
    </row>
    <row r="281" spans="1:17" x14ac:dyDescent="0.3">
      <c r="A281" s="2" t="s">
        <v>146</v>
      </c>
      <c r="B281" s="2" t="s">
        <v>52</v>
      </c>
      <c r="C281" s="2">
        <v>3</v>
      </c>
      <c r="D281" s="2">
        <v>12100</v>
      </c>
      <c r="H281" s="2">
        <f t="shared" si="18"/>
        <v>813.12000000000012</v>
      </c>
      <c r="I281" s="29">
        <v>22.4</v>
      </c>
      <c r="J281" s="8">
        <f t="shared" si="17"/>
        <v>271.04000000000002</v>
      </c>
      <c r="K281" s="2">
        <v>5</v>
      </c>
      <c r="L281" s="21"/>
      <c r="M281" s="14"/>
      <c r="N281" s="26"/>
      <c r="O281" s="24"/>
      <c r="P281" s="16"/>
      <c r="Q281" s="2">
        <f t="shared" si="19"/>
        <v>3</v>
      </c>
    </row>
    <row r="282" spans="1:17" x14ac:dyDescent="0.3">
      <c r="A282" s="2" t="s">
        <v>146</v>
      </c>
      <c r="B282" s="2" t="s">
        <v>52</v>
      </c>
      <c r="C282" s="2">
        <v>1</v>
      </c>
      <c r="D282" s="2">
        <v>12100</v>
      </c>
      <c r="H282" s="2">
        <f t="shared" si="18"/>
        <v>271.04000000000002</v>
      </c>
      <c r="I282" s="29">
        <v>22.4</v>
      </c>
      <c r="J282" s="8">
        <f t="shared" si="17"/>
        <v>271.04000000000002</v>
      </c>
      <c r="K282" s="2">
        <v>6</v>
      </c>
      <c r="L282" s="21"/>
      <c r="M282" s="14"/>
      <c r="N282" s="26"/>
      <c r="O282" s="24"/>
      <c r="P282" s="16"/>
      <c r="Q282" s="2">
        <f t="shared" si="19"/>
        <v>1</v>
      </c>
    </row>
    <row r="283" spans="1:17" x14ac:dyDescent="0.3">
      <c r="A283" s="2" t="s">
        <v>146</v>
      </c>
      <c r="B283" s="2" t="s">
        <v>52</v>
      </c>
      <c r="C283" s="2">
        <v>1</v>
      </c>
      <c r="D283" s="2">
        <v>2000</v>
      </c>
      <c r="H283" s="2">
        <f t="shared" si="18"/>
        <v>44.8</v>
      </c>
      <c r="I283" s="29">
        <v>22.4</v>
      </c>
      <c r="J283" s="8">
        <f t="shared" si="17"/>
        <v>44.8</v>
      </c>
      <c r="K283" s="2">
        <v>8</v>
      </c>
      <c r="L283" s="21"/>
      <c r="M283" s="14"/>
      <c r="N283" s="26"/>
      <c r="O283" s="24"/>
      <c r="P283" s="16"/>
      <c r="Q283" s="2">
        <f t="shared" si="19"/>
        <v>1</v>
      </c>
    </row>
    <row r="284" spans="1:17" x14ac:dyDescent="0.3">
      <c r="A284" s="2" t="s">
        <v>146</v>
      </c>
      <c r="B284" s="2" t="s">
        <v>52</v>
      </c>
      <c r="C284" s="2">
        <v>1</v>
      </c>
      <c r="D284" s="2">
        <v>3000</v>
      </c>
      <c r="H284" s="2">
        <f t="shared" si="18"/>
        <v>67.2</v>
      </c>
      <c r="I284" s="29">
        <v>22.4</v>
      </c>
      <c r="J284" s="8">
        <f t="shared" si="17"/>
        <v>67.2</v>
      </c>
      <c r="K284" s="2">
        <v>12</v>
      </c>
      <c r="L284" s="21"/>
      <c r="M284" s="14"/>
      <c r="N284" s="26"/>
      <c r="O284" s="24"/>
      <c r="P284" s="16"/>
      <c r="Q284" s="2">
        <f t="shared" si="19"/>
        <v>1</v>
      </c>
    </row>
    <row r="285" spans="1:17" x14ac:dyDescent="0.3">
      <c r="A285" s="2" t="s">
        <v>146</v>
      </c>
      <c r="B285" s="2" t="s">
        <v>44</v>
      </c>
      <c r="C285" s="2">
        <v>8</v>
      </c>
      <c r="D285" s="2">
        <v>12100</v>
      </c>
      <c r="E285" s="2" t="s">
        <v>42</v>
      </c>
      <c r="F285" s="4" t="s">
        <v>45</v>
      </c>
      <c r="G285" s="2" t="s">
        <v>46</v>
      </c>
      <c r="H285" s="2">
        <f t="shared" si="18"/>
        <v>2536.16</v>
      </c>
      <c r="I285" s="29">
        <v>26.2</v>
      </c>
      <c r="J285" s="8">
        <f t="shared" si="17"/>
        <v>317.02</v>
      </c>
      <c r="K285" s="2">
        <v>2</v>
      </c>
      <c r="L285" s="21"/>
      <c r="M285" s="14"/>
      <c r="N285" s="26"/>
      <c r="O285" s="24"/>
      <c r="P285" s="16"/>
      <c r="Q285" s="2">
        <f t="shared" si="19"/>
        <v>8</v>
      </c>
    </row>
    <row r="286" spans="1:17" x14ac:dyDescent="0.3">
      <c r="A286" s="2" t="s">
        <v>146</v>
      </c>
      <c r="B286" s="2" t="s">
        <v>44</v>
      </c>
      <c r="C286" s="2">
        <v>1</v>
      </c>
      <c r="D286" s="2">
        <v>6000</v>
      </c>
      <c r="H286" s="2">
        <f t="shared" si="18"/>
        <v>157.19999999999999</v>
      </c>
      <c r="I286" s="29">
        <v>26.2</v>
      </c>
      <c r="J286" s="8">
        <f t="shared" si="17"/>
        <v>157.19999999999999</v>
      </c>
      <c r="K286" s="2">
        <v>5</v>
      </c>
      <c r="L286" s="21"/>
      <c r="M286" s="14"/>
      <c r="N286" s="26"/>
      <c r="O286" s="24"/>
      <c r="P286" s="16"/>
      <c r="Q286" s="2">
        <f t="shared" si="19"/>
        <v>1</v>
      </c>
    </row>
    <row r="287" spans="1:17" x14ac:dyDescent="0.3">
      <c r="A287" s="2" t="s">
        <v>146</v>
      </c>
      <c r="B287" s="2" t="s">
        <v>44</v>
      </c>
      <c r="C287" s="2">
        <v>6</v>
      </c>
      <c r="D287" s="2">
        <v>12100</v>
      </c>
      <c r="H287" s="2">
        <f t="shared" si="18"/>
        <v>1902.12</v>
      </c>
      <c r="I287" s="29">
        <v>26.2</v>
      </c>
      <c r="J287" s="8">
        <f t="shared" si="17"/>
        <v>317.02</v>
      </c>
      <c r="K287" s="2">
        <v>7</v>
      </c>
      <c r="L287" s="21"/>
      <c r="M287" s="14"/>
      <c r="N287" s="26"/>
      <c r="O287" s="24"/>
      <c r="P287" s="16"/>
      <c r="Q287" s="2">
        <f t="shared" si="19"/>
        <v>6</v>
      </c>
    </row>
    <row r="288" spans="1:17" x14ac:dyDescent="0.3">
      <c r="A288" s="2" t="s">
        <v>146</v>
      </c>
      <c r="B288" s="2" t="s">
        <v>44</v>
      </c>
      <c r="C288" s="2">
        <v>1</v>
      </c>
      <c r="D288" s="2">
        <v>7100</v>
      </c>
      <c r="H288" s="2">
        <f t="shared" si="18"/>
        <v>186.02</v>
      </c>
      <c r="I288" s="29">
        <v>26.2</v>
      </c>
      <c r="J288" s="8">
        <f t="shared" si="17"/>
        <v>186.02</v>
      </c>
      <c r="K288" s="2">
        <v>7</v>
      </c>
      <c r="L288" s="21"/>
      <c r="M288" s="14"/>
      <c r="N288" s="26"/>
      <c r="O288" s="24"/>
      <c r="P288" s="16"/>
      <c r="Q288" s="2">
        <f t="shared" si="19"/>
        <v>1</v>
      </c>
    </row>
    <row r="289" spans="1:17" x14ac:dyDescent="0.3">
      <c r="A289" s="2" t="s">
        <v>146</v>
      </c>
      <c r="B289" s="2" t="s">
        <v>44</v>
      </c>
      <c r="C289" s="2">
        <v>1</v>
      </c>
      <c r="D289" s="2">
        <v>6700</v>
      </c>
      <c r="H289" s="2">
        <f t="shared" si="18"/>
        <v>175.54</v>
      </c>
      <c r="I289" s="29">
        <v>26.2</v>
      </c>
      <c r="J289" s="8">
        <f t="shared" si="17"/>
        <v>175.54</v>
      </c>
      <c r="K289" s="2">
        <v>8</v>
      </c>
      <c r="L289" s="21"/>
      <c r="M289" s="14"/>
      <c r="N289" s="26"/>
      <c r="O289" s="24"/>
      <c r="P289" s="16"/>
      <c r="Q289" s="2">
        <f t="shared" si="19"/>
        <v>1</v>
      </c>
    </row>
    <row r="290" spans="1:17" x14ac:dyDescent="0.3">
      <c r="A290" s="2" t="s">
        <v>146</v>
      </c>
      <c r="B290" s="2" t="s">
        <v>44</v>
      </c>
      <c r="C290" s="2">
        <v>1</v>
      </c>
      <c r="D290" s="2">
        <v>1600</v>
      </c>
      <c r="H290" s="2">
        <f t="shared" si="18"/>
        <v>41.92</v>
      </c>
      <c r="I290" s="29">
        <v>26.2</v>
      </c>
      <c r="J290" s="8">
        <f t="shared" si="17"/>
        <v>41.92</v>
      </c>
      <c r="K290" s="2">
        <v>12</v>
      </c>
      <c r="L290" s="21"/>
      <c r="M290" s="14"/>
      <c r="N290" s="26"/>
      <c r="O290" s="24"/>
      <c r="P290" s="16"/>
      <c r="Q290" s="2">
        <f t="shared" si="19"/>
        <v>1</v>
      </c>
    </row>
    <row r="291" spans="1:17" x14ac:dyDescent="0.3">
      <c r="A291" s="2" t="s">
        <v>146</v>
      </c>
      <c r="B291" s="2" t="s">
        <v>39</v>
      </c>
      <c r="C291" s="2">
        <v>1</v>
      </c>
      <c r="D291" s="2">
        <v>3200</v>
      </c>
      <c r="H291" s="2">
        <f t="shared" si="18"/>
        <v>98.24</v>
      </c>
      <c r="I291" s="29">
        <v>30.7</v>
      </c>
      <c r="J291" s="8">
        <f t="shared" si="17"/>
        <v>98.24</v>
      </c>
      <c r="K291" s="2">
        <v>10</v>
      </c>
      <c r="L291" s="21"/>
      <c r="M291" s="14"/>
      <c r="N291" s="26"/>
      <c r="O291" s="24"/>
      <c r="P291" s="16"/>
      <c r="Q291" s="2">
        <f t="shared" si="19"/>
        <v>1</v>
      </c>
    </row>
    <row r="292" spans="1:17" x14ac:dyDescent="0.3">
      <c r="A292" s="2" t="s">
        <v>146</v>
      </c>
      <c r="B292" s="2" t="s">
        <v>39</v>
      </c>
      <c r="C292" s="2">
        <v>1</v>
      </c>
      <c r="D292" s="2">
        <v>6900</v>
      </c>
      <c r="H292" s="2">
        <f t="shared" si="18"/>
        <v>211.83</v>
      </c>
      <c r="I292" s="29">
        <v>30.7</v>
      </c>
      <c r="J292" s="8">
        <f t="shared" si="17"/>
        <v>211.83</v>
      </c>
      <c r="K292" s="2">
        <v>2</v>
      </c>
      <c r="L292" s="21"/>
      <c r="M292" s="14"/>
      <c r="N292" s="26"/>
      <c r="O292" s="24"/>
      <c r="P292" s="16"/>
      <c r="Q292" s="2">
        <f t="shared" si="19"/>
        <v>1</v>
      </c>
    </row>
    <row r="293" spans="1:17" x14ac:dyDescent="0.3">
      <c r="A293" s="2" t="s">
        <v>146</v>
      </c>
      <c r="B293" s="2" t="s">
        <v>39</v>
      </c>
      <c r="C293" s="2">
        <v>6</v>
      </c>
      <c r="D293" s="2">
        <v>12100</v>
      </c>
      <c r="F293" s="4">
        <v>74107</v>
      </c>
      <c r="H293" s="2">
        <f t="shared" si="18"/>
        <v>2228.8200000000002</v>
      </c>
      <c r="I293" s="29">
        <v>30.7</v>
      </c>
      <c r="J293" s="8">
        <f t="shared" si="17"/>
        <v>371.47</v>
      </c>
      <c r="K293" s="2">
        <v>5</v>
      </c>
      <c r="L293" s="21"/>
      <c r="M293" s="14"/>
      <c r="N293" s="26"/>
      <c r="O293" s="24"/>
      <c r="P293" s="16"/>
      <c r="Q293" s="2">
        <f t="shared" si="19"/>
        <v>6</v>
      </c>
    </row>
    <row r="294" spans="1:17" x14ac:dyDescent="0.3">
      <c r="A294" s="2" t="s">
        <v>146</v>
      </c>
      <c r="B294" s="2" t="s">
        <v>39</v>
      </c>
      <c r="C294" s="2">
        <v>1</v>
      </c>
      <c r="D294" s="2">
        <v>12100</v>
      </c>
      <c r="H294" s="2">
        <f t="shared" si="18"/>
        <v>371.47</v>
      </c>
      <c r="I294" s="29">
        <v>30.7</v>
      </c>
      <c r="J294" s="8">
        <f t="shared" si="17"/>
        <v>371.47</v>
      </c>
      <c r="K294" s="2">
        <v>5</v>
      </c>
      <c r="L294" s="21"/>
      <c r="M294" s="14"/>
      <c r="N294" s="26"/>
      <c r="O294" s="24"/>
      <c r="P294" s="16"/>
      <c r="Q294" s="2">
        <f t="shared" si="19"/>
        <v>1</v>
      </c>
    </row>
    <row r="295" spans="1:17" x14ac:dyDescent="0.3">
      <c r="A295" s="2" t="s">
        <v>146</v>
      </c>
      <c r="B295" s="2" t="s">
        <v>39</v>
      </c>
      <c r="C295" s="2">
        <v>2</v>
      </c>
      <c r="D295" s="2">
        <v>3400</v>
      </c>
      <c r="E295" s="2" t="s">
        <v>64</v>
      </c>
      <c r="H295" s="2">
        <f t="shared" si="18"/>
        <v>208.76</v>
      </c>
      <c r="I295" s="29">
        <v>30.7</v>
      </c>
      <c r="J295" s="8">
        <f t="shared" si="17"/>
        <v>104.38</v>
      </c>
      <c r="K295" s="2">
        <v>5</v>
      </c>
      <c r="L295" s="21"/>
      <c r="M295" s="14"/>
      <c r="N295" s="26"/>
      <c r="O295" s="24"/>
      <c r="P295" s="16"/>
      <c r="Q295" s="2">
        <f t="shared" si="19"/>
        <v>2</v>
      </c>
    </row>
    <row r="296" spans="1:17" x14ac:dyDescent="0.3">
      <c r="A296" s="2" t="s">
        <v>146</v>
      </c>
      <c r="B296" s="2" t="s">
        <v>39</v>
      </c>
      <c r="C296" s="2">
        <v>3</v>
      </c>
      <c r="D296" s="2">
        <v>12100</v>
      </c>
      <c r="H296" s="2">
        <f t="shared" si="18"/>
        <v>1114.4100000000001</v>
      </c>
      <c r="I296" s="29">
        <v>30.7</v>
      </c>
      <c r="J296" s="8">
        <f t="shared" si="17"/>
        <v>371.47</v>
      </c>
      <c r="K296" s="2">
        <v>6</v>
      </c>
      <c r="L296" s="21"/>
      <c r="M296" s="14"/>
      <c r="N296" s="26"/>
      <c r="O296" s="24"/>
      <c r="P296" s="16"/>
      <c r="Q296" s="2">
        <f t="shared" si="19"/>
        <v>3</v>
      </c>
    </row>
    <row r="297" spans="1:17" x14ac:dyDescent="0.3">
      <c r="A297" s="2" t="s">
        <v>146</v>
      </c>
      <c r="B297" s="2" t="s">
        <v>39</v>
      </c>
      <c r="C297" s="2">
        <v>7</v>
      </c>
      <c r="D297" s="2">
        <v>12100</v>
      </c>
      <c r="E297" s="2" t="s">
        <v>64</v>
      </c>
      <c r="F297" s="5" t="s">
        <v>89</v>
      </c>
      <c r="H297" s="2">
        <f t="shared" si="18"/>
        <v>2600.29</v>
      </c>
      <c r="I297" s="29">
        <v>30.7</v>
      </c>
      <c r="J297" s="8">
        <f t="shared" si="17"/>
        <v>371.47</v>
      </c>
      <c r="K297" s="2">
        <v>7</v>
      </c>
      <c r="L297" s="21"/>
      <c r="M297" s="14"/>
      <c r="N297" s="26"/>
      <c r="O297" s="24"/>
      <c r="P297" s="16"/>
      <c r="Q297" s="2">
        <f t="shared" si="19"/>
        <v>7</v>
      </c>
    </row>
    <row r="298" spans="1:17" x14ac:dyDescent="0.3">
      <c r="A298" s="2" t="s">
        <v>146</v>
      </c>
      <c r="B298" s="2" t="s">
        <v>39</v>
      </c>
      <c r="C298" s="2">
        <v>2</v>
      </c>
      <c r="D298" s="2">
        <v>3000</v>
      </c>
      <c r="H298" s="2">
        <f t="shared" si="18"/>
        <v>184.2</v>
      </c>
      <c r="I298" s="29">
        <v>30.7</v>
      </c>
      <c r="J298" s="8">
        <f t="shared" si="17"/>
        <v>92.1</v>
      </c>
      <c r="K298" s="2">
        <v>8</v>
      </c>
      <c r="L298" s="21"/>
      <c r="M298" s="14"/>
      <c r="N298" s="26"/>
      <c r="O298" s="24"/>
      <c r="P298" s="16"/>
      <c r="Q298" s="2">
        <f t="shared" si="19"/>
        <v>2</v>
      </c>
    </row>
    <row r="299" spans="1:17" x14ac:dyDescent="0.3">
      <c r="A299" s="2" t="s">
        <v>146</v>
      </c>
      <c r="B299" s="2" t="s">
        <v>39</v>
      </c>
      <c r="C299" s="2">
        <v>1</v>
      </c>
      <c r="D299" s="2">
        <v>2300</v>
      </c>
      <c r="H299" s="2">
        <f t="shared" si="18"/>
        <v>70.61</v>
      </c>
      <c r="I299" s="29">
        <v>30.7</v>
      </c>
      <c r="J299" s="8">
        <f t="shared" si="17"/>
        <v>70.61</v>
      </c>
      <c r="K299" s="2">
        <v>8</v>
      </c>
      <c r="L299" s="21"/>
      <c r="M299" s="14"/>
      <c r="N299" s="26"/>
      <c r="O299" s="24"/>
      <c r="P299" s="16"/>
      <c r="Q299" s="2">
        <f t="shared" si="19"/>
        <v>1</v>
      </c>
    </row>
    <row r="300" spans="1:17" x14ac:dyDescent="0.3">
      <c r="A300" s="2" t="s">
        <v>146</v>
      </c>
      <c r="B300" s="2" t="s">
        <v>39</v>
      </c>
      <c r="C300" s="2">
        <v>1</v>
      </c>
      <c r="D300" s="2">
        <v>1900</v>
      </c>
      <c r="H300" s="2">
        <f t="shared" si="18"/>
        <v>58.33</v>
      </c>
      <c r="I300" s="29">
        <v>30.7</v>
      </c>
      <c r="J300" s="8">
        <f t="shared" si="17"/>
        <v>58.33</v>
      </c>
      <c r="K300" s="2">
        <v>8</v>
      </c>
      <c r="L300" s="21"/>
      <c r="M300" s="14"/>
      <c r="N300" s="26"/>
      <c r="O300" s="24"/>
      <c r="P300" s="16"/>
      <c r="Q300" s="2">
        <f t="shared" si="19"/>
        <v>1</v>
      </c>
    </row>
    <row r="301" spans="1:17" x14ac:dyDescent="0.3">
      <c r="A301" s="2" t="s">
        <v>146</v>
      </c>
      <c r="B301" s="2" t="s">
        <v>39</v>
      </c>
      <c r="C301" s="2">
        <v>1</v>
      </c>
      <c r="D301" s="2">
        <v>1700</v>
      </c>
      <c r="H301" s="2">
        <f t="shared" si="18"/>
        <v>52.19</v>
      </c>
      <c r="I301" s="29">
        <v>30.7</v>
      </c>
      <c r="J301" s="8">
        <f t="shared" si="17"/>
        <v>52.19</v>
      </c>
      <c r="K301" s="2">
        <v>9</v>
      </c>
      <c r="L301" s="21"/>
      <c r="M301" s="14"/>
      <c r="N301" s="26"/>
      <c r="O301" s="24"/>
      <c r="P301" s="16"/>
      <c r="Q301" s="2">
        <f t="shared" si="19"/>
        <v>1</v>
      </c>
    </row>
    <row r="302" spans="1:17" x14ac:dyDescent="0.3">
      <c r="A302" s="2" t="s">
        <v>146</v>
      </c>
      <c r="B302" s="2" t="s">
        <v>39</v>
      </c>
      <c r="C302" s="2">
        <v>1</v>
      </c>
      <c r="D302" s="2">
        <v>2100</v>
      </c>
      <c r="H302" s="2">
        <f t="shared" si="18"/>
        <v>64.47</v>
      </c>
      <c r="I302" s="29">
        <v>30.7</v>
      </c>
      <c r="J302" s="8">
        <f t="shared" si="17"/>
        <v>64.47</v>
      </c>
      <c r="K302" s="2">
        <v>10</v>
      </c>
      <c r="L302" s="21"/>
      <c r="M302" s="14"/>
      <c r="N302" s="26"/>
      <c r="O302" s="24"/>
      <c r="P302" s="16"/>
      <c r="Q302" s="2">
        <f t="shared" si="19"/>
        <v>1</v>
      </c>
    </row>
    <row r="303" spans="1:17" x14ac:dyDescent="0.3">
      <c r="A303" s="2" t="s">
        <v>146</v>
      </c>
      <c r="B303" s="2" t="s">
        <v>39</v>
      </c>
      <c r="C303" s="2">
        <v>5</v>
      </c>
      <c r="D303" s="2">
        <v>3900</v>
      </c>
      <c r="H303" s="2">
        <f t="shared" si="18"/>
        <v>598.65</v>
      </c>
      <c r="I303" s="29">
        <v>30.7</v>
      </c>
      <c r="J303" s="8">
        <f t="shared" ref="J303:J335" si="20">+I303*D303/1000</f>
        <v>119.73</v>
      </c>
      <c r="K303" s="2">
        <v>10</v>
      </c>
      <c r="L303" s="21"/>
      <c r="M303" s="14"/>
      <c r="N303" s="26"/>
      <c r="O303" s="24"/>
      <c r="P303" s="16"/>
      <c r="Q303" s="2">
        <f t="shared" si="19"/>
        <v>5</v>
      </c>
    </row>
    <row r="304" spans="1:17" x14ac:dyDescent="0.3">
      <c r="A304" s="2" t="s">
        <v>146</v>
      </c>
      <c r="B304" s="2" t="s">
        <v>39</v>
      </c>
      <c r="C304" s="2">
        <v>3</v>
      </c>
      <c r="D304" s="2">
        <v>1000</v>
      </c>
      <c r="H304" s="2">
        <f t="shared" si="18"/>
        <v>92.1</v>
      </c>
      <c r="I304" s="29">
        <v>30.7</v>
      </c>
      <c r="J304" s="8">
        <f t="shared" si="20"/>
        <v>30.7</v>
      </c>
      <c r="K304" s="2">
        <v>11</v>
      </c>
      <c r="L304" s="21"/>
      <c r="M304" s="14"/>
      <c r="N304" s="26"/>
      <c r="O304" s="24"/>
      <c r="P304" s="16"/>
      <c r="Q304" s="2">
        <f t="shared" si="19"/>
        <v>3</v>
      </c>
    </row>
    <row r="305" spans="1:17" x14ac:dyDescent="0.3">
      <c r="A305" s="2" t="s">
        <v>146</v>
      </c>
      <c r="B305" s="2" t="s">
        <v>39</v>
      </c>
      <c r="C305" s="2">
        <v>2</v>
      </c>
      <c r="D305" s="2">
        <v>2200</v>
      </c>
      <c r="H305" s="2">
        <f t="shared" si="18"/>
        <v>135.08000000000001</v>
      </c>
      <c r="I305" s="29">
        <v>30.7</v>
      </c>
      <c r="J305" s="8">
        <f t="shared" si="20"/>
        <v>67.540000000000006</v>
      </c>
      <c r="K305" s="2">
        <v>11</v>
      </c>
      <c r="L305" s="21"/>
      <c r="M305" s="14"/>
      <c r="N305" s="26"/>
      <c r="O305" s="24"/>
      <c r="P305" s="16"/>
      <c r="Q305" s="2">
        <f t="shared" si="19"/>
        <v>2</v>
      </c>
    </row>
    <row r="306" spans="1:17" x14ac:dyDescent="0.3">
      <c r="A306" s="2" t="s">
        <v>146</v>
      </c>
      <c r="B306" s="2" t="s">
        <v>39</v>
      </c>
      <c r="C306" s="2">
        <v>1</v>
      </c>
      <c r="D306" s="2">
        <v>2700</v>
      </c>
      <c r="H306" s="2">
        <f t="shared" si="18"/>
        <v>82.89</v>
      </c>
      <c r="I306" s="29">
        <v>30.7</v>
      </c>
      <c r="J306" s="8">
        <f t="shared" si="20"/>
        <v>82.89</v>
      </c>
      <c r="K306" s="2">
        <v>11</v>
      </c>
      <c r="L306" s="21"/>
      <c r="M306" s="14"/>
      <c r="N306" s="26"/>
      <c r="O306" s="24"/>
      <c r="P306" s="16"/>
      <c r="Q306" s="2">
        <f t="shared" si="19"/>
        <v>1</v>
      </c>
    </row>
    <row r="307" spans="1:17" x14ac:dyDescent="0.3">
      <c r="A307" s="2" t="s">
        <v>146</v>
      </c>
      <c r="B307" s="2" t="s">
        <v>57</v>
      </c>
      <c r="C307" s="2">
        <v>2</v>
      </c>
      <c r="D307" s="2">
        <v>10100</v>
      </c>
      <c r="H307" s="2">
        <f t="shared" si="18"/>
        <v>729.22</v>
      </c>
      <c r="I307" s="29">
        <v>36.1</v>
      </c>
      <c r="J307" s="8">
        <f t="shared" si="20"/>
        <v>364.61</v>
      </c>
      <c r="K307" s="2">
        <v>3</v>
      </c>
      <c r="L307" s="21"/>
      <c r="M307" s="14"/>
      <c r="N307" s="26"/>
      <c r="O307" s="24"/>
      <c r="P307" s="16"/>
      <c r="Q307" s="2">
        <f t="shared" si="19"/>
        <v>2</v>
      </c>
    </row>
    <row r="308" spans="1:17" x14ac:dyDescent="0.3">
      <c r="A308" s="2" t="s">
        <v>146</v>
      </c>
      <c r="B308" s="2" t="s">
        <v>57</v>
      </c>
      <c r="C308" s="2">
        <v>1</v>
      </c>
      <c r="D308" s="2">
        <v>4000</v>
      </c>
      <c r="E308" s="2" t="s">
        <v>64</v>
      </c>
      <c r="H308" s="2">
        <f t="shared" si="18"/>
        <v>144.4</v>
      </c>
      <c r="I308" s="29">
        <v>36.1</v>
      </c>
      <c r="J308" s="8">
        <f t="shared" si="20"/>
        <v>144.4</v>
      </c>
      <c r="K308" s="2">
        <v>6</v>
      </c>
      <c r="L308" s="21"/>
      <c r="M308" s="14"/>
      <c r="N308" s="26"/>
      <c r="O308" s="24"/>
      <c r="P308" s="16"/>
      <c r="Q308" s="2">
        <f t="shared" si="19"/>
        <v>1</v>
      </c>
    </row>
    <row r="309" spans="1:17" x14ac:dyDescent="0.3">
      <c r="A309" s="2" t="s">
        <v>146</v>
      </c>
      <c r="B309" s="2" t="s">
        <v>57</v>
      </c>
      <c r="C309" s="2">
        <v>1</v>
      </c>
      <c r="D309" s="2">
        <v>12100</v>
      </c>
      <c r="E309" s="2" t="s">
        <v>64</v>
      </c>
      <c r="H309" s="2">
        <f t="shared" si="18"/>
        <v>436.81</v>
      </c>
      <c r="I309" s="29">
        <v>36.1</v>
      </c>
      <c r="J309" s="8">
        <f t="shared" si="20"/>
        <v>436.81</v>
      </c>
      <c r="K309" s="2">
        <v>7</v>
      </c>
      <c r="L309" s="21"/>
      <c r="M309" s="14"/>
      <c r="N309" s="26"/>
      <c r="O309" s="24"/>
      <c r="P309" s="16"/>
      <c r="Q309" s="2">
        <f t="shared" si="19"/>
        <v>1</v>
      </c>
    </row>
    <row r="310" spans="1:17" x14ac:dyDescent="0.3">
      <c r="A310" s="2" t="s">
        <v>146</v>
      </c>
      <c r="B310" s="2" t="s">
        <v>57</v>
      </c>
      <c r="C310" s="2">
        <v>3</v>
      </c>
      <c r="D310" s="2">
        <v>2000</v>
      </c>
      <c r="H310" s="2">
        <f t="shared" si="18"/>
        <v>216.60000000000002</v>
      </c>
      <c r="I310" s="29">
        <v>36.1</v>
      </c>
      <c r="J310" s="8">
        <f t="shared" si="20"/>
        <v>72.2</v>
      </c>
      <c r="K310" s="2">
        <v>8</v>
      </c>
      <c r="L310" s="21"/>
      <c r="M310" s="14"/>
      <c r="N310" s="26"/>
      <c r="O310" s="24"/>
      <c r="P310" s="16"/>
      <c r="Q310" s="2">
        <f t="shared" si="19"/>
        <v>3</v>
      </c>
    </row>
    <row r="311" spans="1:17" x14ac:dyDescent="0.3">
      <c r="A311" s="2" t="s">
        <v>146</v>
      </c>
      <c r="B311" s="2" t="s">
        <v>57</v>
      </c>
      <c r="C311" s="2">
        <v>5</v>
      </c>
      <c r="D311" s="2">
        <v>1400</v>
      </c>
      <c r="H311" s="2">
        <f t="shared" si="18"/>
        <v>252.7</v>
      </c>
      <c r="I311" s="29">
        <v>36.1</v>
      </c>
      <c r="J311" s="8">
        <f t="shared" si="20"/>
        <v>50.54</v>
      </c>
      <c r="K311" s="2">
        <v>8</v>
      </c>
      <c r="L311" s="21"/>
      <c r="M311" s="14"/>
      <c r="N311" s="26"/>
      <c r="O311" s="24"/>
      <c r="P311" s="16"/>
      <c r="Q311" s="2">
        <f t="shared" si="19"/>
        <v>5</v>
      </c>
    </row>
    <row r="312" spans="1:17" x14ac:dyDescent="0.3">
      <c r="A312" s="2" t="s">
        <v>146</v>
      </c>
      <c r="B312" s="2" t="s">
        <v>57</v>
      </c>
      <c r="C312" s="2">
        <v>1</v>
      </c>
      <c r="D312" s="2">
        <v>2100</v>
      </c>
      <c r="H312" s="2">
        <f t="shared" si="18"/>
        <v>75.81</v>
      </c>
      <c r="I312" s="29">
        <v>36.1</v>
      </c>
      <c r="J312" s="8">
        <f t="shared" si="20"/>
        <v>75.81</v>
      </c>
      <c r="K312" s="2">
        <v>8</v>
      </c>
      <c r="L312" s="21"/>
      <c r="M312" s="14"/>
      <c r="N312" s="26"/>
      <c r="O312" s="24"/>
      <c r="P312" s="16"/>
      <c r="Q312" s="2">
        <f t="shared" si="19"/>
        <v>1</v>
      </c>
    </row>
    <row r="313" spans="1:17" x14ac:dyDescent="0.3">
      <c r="A313" s="2" t="s">
        <v>146</v>
      </c>
      <c r="B313" s="2" t="s">
        <v>57</v>
      </c>
      <c r="C313" s="2">
        <v>1</v>
      </c>
      <c r="D313" s="2">
        <v>2700</v>
      </c>
      <c r="H313" s="2">
        <f t="shared" si="18"/>
        <v>97.47</v>
      </c>
      <c r="I313" s="29">
        <v>36.1</v>
      </c>
      <c r="J313" s="8">
        <f t="shared" si="20"/>
        <v>97.47</v>
      </c>
      <c r="K313" s="2">
        <v>12</v>
      </c>
      <c r="L313" s="21"/>
      <c r="M313" s="14"/>
      <c r="N313" s="26"/>
      <c r="O313" s="24"/>
      <c r="P313" s="16"/>
      <c r="Q313" s="2">
        <f t="shared" si="19"/>
        <v>1</v>
      </c>
    </row>
    <row r="314" spans="1:17" x14ac:dyDescent="0.3">
      <c r="A314" s="2" t="s">
        <v>146</v>
      </c>
      <c r="B314" s="2" t="s">
        <v>57</v>
      </c>
      <c r="C314" s="2">
        <v>16</v>
      </c>
      <c r="D314" s="2">
        <v>4500</v>
      </c>
      <c r="H314" s="2">
        <f t="shared" si="18"/>
        <v>2599.1999999999998</v>
      </c>
      <c r="I314" s="29">
        <v>36.1</v>
      </c>
      <c r="J314" s="8">
        <f t="shared" si="20"/>
        <v>162.44999999999999</v>
      </c>
      <c r="K314" s="2">
        <v>12</v>
      </c>
      <c r="L314" s="21"/>
      <c r="M314" s="14"/>
      <c r="N314" s="26"/>
      <c r="O314" s="24"/>
      <c r="P314" s="16"/>
      <c r="Q314" s="2">
        <f t="shared" si="19"/>
        <v>16</v>
      </c>
    </row>
    <row r="315" spans="1:17" x14ac:dyDescent="0.3">
      <c r="A315" s="2" t="s">
        <v>146</v>
      </c>
      <c r="B315" s="2" t="s">
        <v>57</v>
      </c>
      <c r="C315" s="2">
        <v>1</v>
      </c>
      <c r="D315" s="2">
        <v>3100</v>
      </c>
      <c r="H315" s="2">
        <f t="shared" si="18"/>
        <v>111.91</v>
      </c>
      <c r="I315" s="29">
        <v>36.1</v>
      </c>
      <c r="J315" s="8">
        <f t="shared" si="20"/>
        <v>111.91</v>
      </c>
      <c r="K315" s="2">
        <v>12</v>
      </c>
      <c r="L315" s="21"/>
      <c r="M315" s="14"/>
      <c r="N315" s="26"/>
      <c r="O315" s="24"/>
      <c r="P315" s="16"/>
      <c r="Q315" s="2">
        <f t="shared" si="19"/>
        <v>1</v>
      </c>
    </row>
    <row r="316" spans="1:17" x14ac:dyDescent="0.3">
      <c r="A316" s="2" t="s">
        <v>146</v>
      </c>
      <c r="B316" s="2" t="s">
        <v>47</v>
      </c>
      <c r="C316" s="2">
        <v>10</v>
      </c>
      <c r="D316" s="2">
        <v>12100</v>
      </c>
      <c r="E316" s="2" t="s">
        <v>33</v>
      </c>
      <c r="F316" s="4" t="s">
        <v>48</v>
      </c>
      <c r="H316" s="2">
        <f t="shared" si="18"/>
        <v>5106.2000000000007</v>
      </c>
      <c r="I316" s="29">
        <v>42.2</v>
      </c>
      <c r="J316" s="8">
        <f t="shared" si="20"/>
        <v>510.62000000000006</v>
      </c>
      <c r="K316" s="2">
        <v>2</v>
      </c>
      <c r="L316" s="21"/>
      <c r="M316" s="14"/>
      <c r="N316" s="26"/>
      <c r="O316" s="24"/>
      <c r="P316" s="16"/>
      <c r="Q316" s="2">
        <f t="shared" si="19"/>
        <v>10</v>
      </c>
    </row>
    <row r="317" spans="1:17" x14ac:dyDescent="0.3">
      <c r="A317" s="2" t="s">
        <v>146</v>
      </c>
      <c r="B317" s="2" t="s">
        <v>47</v>
      </c>
      <c r="C317" s="2">
        <v>1</v>
      </c>
      <c r="D317" s="2">
        <v>1200</v>
      </c>
      <c r="H317" s="2">
        <f t="shared" si="18"/>
        <v>50.64</v>
      </c>
      <c r="I317" s="29">
        <v>42.2</v>
      </c>
      <c r="J317" s="8">
        <f t="shared" si="20"/>
        <v>50.64</v>
      </c>
      <c r="K317" s="2">
        <v>8</v>
      </c>
      <c r="L317" s="21"/>
      <c r="M317" s="14"/>
      <c r="N317" s="26"/>
      <c r="O317" s="24"/>
      <c r="P317" s="16"/>
      <c r="Q317" s="2">
        <f t="shared" si="19"/>
        <v>1</v>
      </c>
    </row>
    <row r="318" spans="1:17" x14ac:dyDescent="0.3">
      <c r="A318" s="2" t="s">
        <v>146</v>
      </c>
      <c r="B318" s="2" t="s">
        <v>47</v>
      </c>
      <c r="C318" s="2">
        <v>6</v>
      </c>
      <c r="D318" s="2">
        <v>1500</v>
      </c>
      <c r="H318" s="2">
        <f t="shared" si="18"/>
        <v>379.8</v>
      </c>
      <c r="I318" s="29">
        <v>42.2</v>
      </c>
      <c r="J318" s="8">
        <f t="shared" si="20"/>
        <v>63.300000000000004</v>
      </c>
      <c r="K318" s="2">
        <v>8</v>
      </c>
      <c r="L318" s="21"/>
      <c r="M318" s="14"/>
      <c r="N318" s="26"/>
      <c r="O318" s="24"/>
      <c r="P318" s="16"/>
      <c r="Q318" s="2">
        <f t="shared" si="19"/>
        <v>6</v>
      </c>
    </row>
    <row r="319" spans="1:17" x14ac:dyDescent="0.3">
      <c r="A319" s="2" t="s">
        <v>146</v>
      </c>
      <c r="B319" s="2" t="s">
        <v>47</v>
      </c>
      <c r="C319" s="2">
        <v>1</v>
      </c>
      <c r="D319" s="2">
        <v>6100</v>
      </c>
      <c r="H319" s="2">
        <f t="shared" si="18"/>
        <v>257.42</v>
      </c>
      <c r="I319" s="29">
        <v>42.2</v>
      </c>
      <c r="J319" s="8">
        <f t="shared" si="20"/>
        <v>257.42</v>
      </c>
      <c r="K319" s="2">
        <v>8</v>
      </c>
      <c r="L319" s="21"/>
      <c r="M319" s="14"/>
      <c r="N319" s="26"/>
      <c r="O319" s="24"/>
      <c r="P319" s="16"/>
      <c r="Q319" s="2">
        <f t="shared" si="19"/>
        <v>1</v>
      </c>
    </row>
    <row r="320" spans="1:17" x14ac:dyDescent="0.3">
      <c r="A320" s="2" t="s">
        <v>146</v>
      </c>
      <c r="B320" s="2" t="s">
        <v>47</v>
      </c>
      <c r="C320" s="2">
        <v>1</v>
      </c>
      <c r="D320" s="2">
        <v>7100</v>
      </c>
      <c r="H320" s="2">
        <f t="shared" si="18"/>
        <v>299.62</v>
      </c>
      <c r="I320" s="29">
        <v>42.2</v>
      </c>
      <c r="J320" s="8">
        <f t="shared" si="20"/>
        <v>299.62</v>
      </c>
      <c r="K320" s="2">
        <v>8</v>
      </c>
      <c r="L320" s="21"/>
      <c r="M320" s="14"/>
      <c r="N320" s="26"/>
      <c r="O320" s="24"/>
      <c r="P320" s="16"/>
      <c r="Q320" s="2">
        <f t="shared" si="19"/>
        <v>1</v>
      </c>
    </row>
    <row r="321" spans="1:17" x14ac:dyDescent="0.3">
      <c r="A321" s="2" t="s">
        <v>146</v>
      </c>
      <c r="B321" s="2" t="s">
        <v>47</v>
      </c>
      <c r="C321" s="2">
        <v>12</v>
      </c>
      <c r="D321" s="2">
        <v>3600</v>
      </c>
      <c r="F321" s="4">
        <v>73924</v>
      </c>
      <c r="H321" s="2">
        <f t="shared" si="18"/>
        <v>1823.04</v>
      </c>
      <c r="I321" s="29">
        <v>42.2</v>
      </c>
      <c r="J321" s="8">
        <f t="shared" si="20"/>
        <v>151.91999999999999</v>
      </c>
      <c r="K321" s="2">
        <v>9</v>
      </c>
      <c r="L321" s="21"/>
      <c r="M321" s="14"/>
      <c r="N321" s="26"/>
      <c r="O321" s="24"/>
      <c r="P321" s="16"/>
      <c r="Q321" s="2">
        <f t="shared" si="19"/>
        <v>12</v>
      </c>
    </row>
    <row r="322" spans="1:17" x14ac:dyDescent="0.3">
      <c r="A322" s="2" t="s">
        <v>146</v>
      </c>
      <c r="B322" s="2" t="s">
        <v>47</v>
      </c>
      <c r="C322" s="2">
        <v>1</v>
      </c>
      <c r="D322" s="2">
        <v>3700</v>
      </c>
      <c r="H322" s="2">
        <f t="shared" si="18"/>
        <v>156.13999999999999</v>
      </c>
      <c r="I322" s="29">
        <v>42.2</v>
      </c>
      <c r="J322" s="8">
        <f t="shared" si="20"/>
        <v>156.13999999999999</v>
      </c>
      <c r="K322" s="2">
        <v>10</v>
      </c>
      <c r="L322" s="21"/>
      <c r="M322" s="14"/>
      <c r="N322" s="26"/>
      <c r="O322" s="24"/>
      <c r="P322" s="16"/>
      <c r="Q322" s="2">
        <f t="shared" si="19"/>
        <v>1</v>
      </c>
    </row>
    <row r="323" spans="1:17" x14ac:dyDescent="0.3">
      <c r="A323" s="2" t="s">
        <v>146</v>
      </c>
      <c r="B323" s="2" t="s">
        <v>47</v>
      </c>
      <c r="C323" s="2">
        <v>1</v>
      </c>
      <c r="D323" s="2">
        <v>1100</v>
      </c>
      <c r="H323" s="2">
        <f t="shared" ref="H323:H335" si="21">+J323*C323</f>
        <v>46.42</v>
      </c>
      <c r="I323" s="29">
        <v>42.2</v>
      </c>
      <c r="J323" s="8">
        <f t="shared" si="20"/>
        <v>46.42</v>
      </c>
      <c r="K323" s="2">
        <v>11</v>
      </c>
      <c r="L323" s="21"/>
      <c r="M323" s="14"/>
      <c r="N323" s="26"/>
      <c r="O323" s="24"/>
      <c r="P323" s="16"/>
      <c r="Q323" s="2">
        <f t="shared" si="19"/>
        <v>1</v>
      </c>
    </row>
    <row r="324" spans="1:17" x14ac:dyDescent="0.3">
      <c r="A324" s="2" t="s">
        <v>146</v>
      </c>
      <c r="B324" s="2" t="s">
        <v>47</v>
      </c>
      <c r="C324" s="2">
        <v>1</v>
      </c>
      <c r="D324" s="2">
        <v>2700</v>
      </c>
      <c r="H324" s="2">
        <f t="shared" si="21"/>
        <v>113.94000000000001</v>
      </c>
      <c r="I324" s="29">
        <v>42.2</v>
      </c>
      <c r="J324" s="8">
        <f t="shared" si="20"/>
        <v>113.94000000000001</v>
      </c>
      <c r="K324" s="2">
        <v>12</v>
      </c>
      <c r="L324" s="21"/>
      <c r="M324" s="14"/>
      <c r="N324" s="26"/>
      <c r="O324" s="24"/>
      <c r="P324" s="16"/>
      <c r="Q324" s="2">
        <f t="shared" si="19"/>
        <v>1</v>
      </c>
    </row>
    <row r="325" spans="1:17" x14ac:dyDescent="0.3">
      <c r="A325" s="2" t="s">
        <v>146</v>
      </c>
      <c r="B325" s="2" t="s">
        <v>35</v>
      </c>
      <c r="C325" s="2">
        <v>3</v>
      </c>
      <c r="D325" s="2">
        <v>12100</v>
      </c>
      <c r="F325" s="4" t="s">
        <v>36</v>
      </c>
      <c r="H325" s="2">
        <f t="shared" si="21"/>
        <v>1782.33</v>
      </c>
      <c r="I325" s="29">
        <v>49.1</v>
      </c>
      <c r="J325" s="8">
        <f t="shared" si="20"/>
        <v>594.11</v>
      </c>
      <c r="K325" s="2">
        <v>1</v>
      </c>
      <c r="L325" s="21"/>
      <c r="M325" s="14"/>
      <c r="N325" s="26"/>
      <c r="O325" s="24"/>
      <c r="P325" s="16"/>
      <c r="Q325" s="2">
        <f t="shared" si="19"/>
        <v>3</v>
      </c>
    </row>
    <row r="326" spans="1:17" x14ac:dyDescent="0.3">
      <c r="A326" s="2" t="s">
        <v>146</v>
      </c>
      <c r="B326" s="2" t="s">
        <v>35</v>
      </c>
      <c r="C326" s="2">
        <v>4</v>
      </c>
      <c r="D326" s="2">
        <v>13300</v>
      </c>
      <c r="E326" s="2" t="s">
        <v>42</v>
      </c>
      <c r="F326" s="5" t="s">
        <v>43</v>
      </c>
      <c r="H326" s="2">
        <f t="shared" si="21"/>
        <v>2612.12</v>
      </c>
      <c r="I326" s="29">
        <v>49.1</v>
      </c>
      <c r="J326" s="8">
        <f t="shared" si="20"/>
        <v>653.03</v>
      </c>
      <c r="K326" s="2">
        <v>2</v>
      </c>
      <c r="L326" s="21"/>
      <c r="M326" s="14"/>
      <c r="N326" s="26"/>
      <c r="O326" s="24"/>
      <c r="P326" s="16"/>
      <c r="Q326" s="2">
        <f t="shared" si="19"/>
        <v>4</v>
      </c>
    </row>
    <row r="327" spans="1:17" x14ac:dyDescent="0.3">
      <c r="A327" s="2" t="s">
        <v>146</v>
      </c>
      <c r="B327" s="2" t="s">
        <v>97</v>
      </c>
      <c r="C327" s="2">
        <v>1</v>
      </c>
      <c r="D327" s="2">
        <v>3300</v>
      </c>
      <c r="H327" s="2">
        <f t="shared" si="21"/>
        <v>188.43</v>
      </c>
      <c r="I327" s="29">
        <v>57.1</v>
      </c>
      <c r="J327" s="8">
        <f t="shared" si="20"/>
        <v>188.43</v>
      </c>
      <c r="K327" s="2">
        <v>8</v>
      </c>
      <c r="L327" s="21"/>
      <c r="M327" s="14"/>
      <c r="N327" s="26"/>
      <c r="O327" s="24"/>
      <c r="P327" s="16"/>
      <c r="Q327" s="2">
        <f t="shared" si="19"/>
        <v>1</v>
      </c>
    </row>
    <row r="328" spans="1:17" x14ac:dyDescent="0.3">
      <c r="A328" s="2" t="s">
        <v>146</v>
      </c>
      <c r="B328" s="2" t="s">
        <v>97</v>
      </c>
      <c r="C328" s="2">
        <v>5</v>
      </c>
      <c r="D328" s="2">
        <v>5000</v>
      </c>
      <c r="H328" s="2">
        <f t="shared" si="21"/>
        <v>1427.5</v>
      </c>
      <c r="I328" s="29">
        <v>57.1</v>
      </c>
      <c r="J328" s="8">
        <f t="shared" si="20"/>
        <v>285.5</v>
      </c>
      <c r="K328" s="2">
        <v>8</v>
      </c>
      <c r="L328" s="21"/>
      <c r="M328" s="14"/>
      <c r="N328" s="26"/>
      <c r="O328" s="24"/>
      <c r="P328" s="16"/>
      <c r="Q328" s="2">
        <f t="shared" si="19"/>
        <v>5</v>
      </c>
    </row>
    <row r="329" spans="1:17" x14ac:dyDescent="0.3">
      <c r="A329" s="2" t="s">
        <v>146</v>
      </c>
      <c r="B329" s="2" t="s">
        <v>97</v>
      </c>
      <c r="C329" s="2">
        <v>1</v>
      </c>
      <c r="D329" s="2">
        <v>7000</v>
      </c>
      <c r="H329" s="2">
        <f t="shared" si="21"/>
        <v>399.7</v>
      </c>
      <c r="I329" s="29">
        <v>57.1</v>
      </c>
      <c r="J329" s="8">
        <f t="shared" si="20"/>
        <v>399.7</v>
      </c>
      <c r="K329" s="2">
        <v>8</v>
      </c>
      <c r="L329" s="21"/>
      <c r="M329" s="14"/>
      <c r="N329" s="26"/>
      <c r="O329" s="24"/>
      <c r="P329" s="16"/>
      <c r="Q329" s="2">
        <f t="shared" si="19"/>
        <v>1</v>
      </c>
    </row>
    <row r="330" spans="1:17" x14ac:dyDescent="0.3">
      <c r="A330" s="2" t="s">
        <v>146</v>
      </c>
      <c r="B330" s="2" t="s">
        <v>97</v>
      </c>
      <c r="C330" s="2">
        <v>1</v>
      </c>
      <c r="D330" s="2">
        <v>3600</v>
      </c>
      <c r="H330" s="2">
        <f t="shared" si="21"/>
        <v>205.56</v>
      </c>
      <c r="I330" s="29">
        <v>57.1</v>
      </c>
      <c r="J330" s="8">
        <f t="shared" si="20"/>
        <v>205.56</v>
      </c>
      <c r="K330" s="2">
        <v>9</v>
      </c>
      <c r="L330" s="21"/>
      <c r="M330" s="14"/>
      <c r="N330" s="26"/>
      <c r="O330" s="24"/>
      <c r="P330" s="16"/>
      <c r="Q330" s="2">
        <f t="shared" si="19"/>
        <v>1</v>
      </c>
    </row>
    <row r="331" spans="1:17" x14ac:dyDescent="0.3">
      <c r="A331" s="2" t="s">
        <v>146</v>
      </c>
      <c r="B331" s="2" t="s">
        <v>97</v>
      </c>
      <c r="C331" s="2">
        <v>1</v>
      </c>
      <c r="D331" s="2">
        <v>2500</v>
      </c>
      <c r="H331" s="2">
        <f t="shared" si="21"/>
        <v>142.75</v>
      </c>
      <c r="I331" s="29">
        <v>57.1</v>
      </c>
      <c r="J331" s="8">
        <f t="shared" si="20"/>
        <v>142.75</v>
      </c>
      <c r="K331" s="2">
        <v>9</v>
      </c>
      <c r="L331" s="21"/>
      <c r="M331" s="14"/>
      <c r="N331" s="26"/>
      <c r="O331" s="24"/>
      <c r="P331" s="16"/>
      <c r="Q331" s="2">
        <f t="shared" si="19"/>
        <v>1</v>
      </c>
    </row>
    <row r="332" spans="1:17" x14ac:dyDescent="0.3">
      <c r="A332" s="2" t="s">
        <v>146</v>
      </c>
      <c r="B332" s="2" t="s">
        <v>86</v>
      </c>
      <c r="C332" s="2">
        <v>11</v>
      </c>
      <c r="D332" s="2">
        <v>12100</v>
      </c>
      <c r="E332" s="2" t="s">
        <v>64</v>
      </c>
      <c r="F332" s="4" t="s">
        <v>87</v>
      </c>
      <c r="H332" s="2">
        <f t="shared" si="21"/>
        <v>8824.5300000000007</v>
      </c>
      <c r="I332" s="29">
        <v>66.3</v>
      </c>
      <c r="J332" s="8">
        <f t="shared" si="20"/>
        <v>802.23</v>
      </c>
      <c r="K332" s="2">
        <v>6</v>
      </c>
      <c r="L332" s="21"/>
      <c r="M332" s="14"/>
      <c r="N332" s="26"/>
      <c r="O332" s="24"/>
      <c r="P332" s="16"/>
      <c r="Q332" s="2">
        <f t="shared" si="19"/>
        <v>11</v>
      </c>
    </row>
    <row r="333" spans="1:17" x14ac:dyDescent="0.3">
      <c r="A333" s="2" t="s">
        <v>146</v>
      </c>
      <c r="B333" s="2" t="s">
        <v>86</v>
      </c>
      <c r="C333" s="2">
        <v>1</v>
      </c>
      <c r="D333" s="2">
        <v>1300</v>
      </c>
      <c r="H333" s="2">
        <f t="shared" si="21"/>
        <v>86.19</v>
      </c>
      <c r="I333" s="29">
        <v>66.3</v>
      </c>
      <c r="J333" s="8">
        <f t="shared" si="20"/>
        <v>86.19</v>
      </c>
      <c r="K333" s="2">
        <v>8</v>
      </c>
      <c r="L333" s="21"/>
      <c r="M333" s="14"/>
      <c r="N333" s="26"/>
      <c r="O333" s="24"/>
      <c r="P333" s="16"/>
      <c r="Q333" s="2">
        <f t="shared" si="19"/>
        <v>1</v>
      </c>
    </row>
    <row r="334" spans="1:17" x14ac:dyDescent="0.3">
      <c r="A334" s="2" t="s">
        <v>146</v>
      </c>
      <c r="B334" s="2" t="s">
        <v>79</v>
      </c>
      <c r="C334" s="2">
        <v>1</v>
      </c>
      <c r="D334" s="2">
        <v>12100</v>
      </c>
      <c r="H334" s="2">
        <f t="shared" si="21"/>
        <v>938.95999999999992</v>
      </c>
      <c r="I334" s="29">
        <v>77.599999999999994</v>
      </c>
      <c r="J334" s="8">
        <f t="shared" si="20"/>
        <v>938.95999999999992</v>
      </c>
      <c r="K334" s="2">
        <v>5</v>
      </c>
      <c r="L334" s="21"/>
      <c r="M334" s="14"/>
      <c r="N334" s="26"/>
      <c r="O334" s="24"/>
      <c r="P334" s="16"/>
      <c r="Q334" s="2">
        <f t="shared" si="19"/>
        <v>1</v>
      </c>
    </row>
    <row r="335" spans="1:17" x14ac:dyDescent="0.3">
      <c r="A335" s="2" t="s">
        <v>145</v>
      </c>
      <c r="B335" s="2" t="s">
        <v>115</v>
      </c>
      <c r="C335" s="2">
        <v>4</v>
      </c>
      <c r="D335" s="2">
        <v>6000</v>
      </c>
      <c r="E335" s="2" t="s">
        <v>12</v>
      </c>
      <c r="H335" s="2">
        <f t="shared" si="21"/>
        <v>200.16</v>
      </c>
      <c r="I335" s="29">
        <v>8.34</v>
      </c>
      <c r="J335" s="8">
        <f t="shared" si="20"/>
        <v>50.04</v>
      </c>
      <c r="K335" s="2" t="s">
        <v>111</v>
      </c>
      <c r="L335" s="21"/>
      <c r="M335" s="14"/>
      <c r="N335" s="26"/>
      <c r="O335" s="24"/>
      <c r="P335" s="16"/>
      <c r="Q335" s="2">
        <f t="shared" si="19"/>
        <v>4</v>
      </c>
    </row>
    <row r="336" spans="1:17" x14ac:dyDescent="0.3">
      <c r="A336" s="2" t="s">
        <v>147</v>
      </c>
      <c r="B336" s="2" t="s">
        <v>159</v>
      </c>
      <c r="C336" s="2">
        <v>16</v>
      </c>
      <c r="K336" s="2" t="s">
        <v>162</v>
      </c>
      <c r="L336" s="21"/>
      <c r="M336" s="14"/>
      <c r="N336" s="26"/>
      <c r="O336" s="24"/>
      <c r="P336" s="16"/>
      <c r="Q336" s="2">
        <f t="shared" si="19"/>
        <v>16</v>
      </c>
    </row>
    <row r="337" spans="1:17" x14ac:dyDescent="0.3">
      <c r="A337" s="2" t="s">
        <v>147</v>
      </c>
      <c r="B337" s="2" t="s">
        <v>160</v>
      </c>
      <c r="C337" s="2">
        <v>28</v>
      </c>
      <c r="K337" s="2" t="s">
        <v>162</v>
      </c>
      <c r="L337" s="21"/>
      <c r="M337" s="14"/>
      <c r="N337" s="26"/>
      <c r="O337" s="24"/>
      <c r="P337" s="16"/>
      <c r="Q337" s="2">
        <f t="shared" si="19"/>
        <v>28</v>
      </c>
    </row>
    <row r="338" spans="1:17" x14ac:dyDescent="0.3">
      <c r="A338" s="2" t="s">
        <v>147</v>
      </c>
      <c r="B338" s="2" t="s">
        <v>161</v>
      </c>
      <c r="C338" s="2">
        <v>48</v>
      </c>
      <c r="K338" s="2" t="s">
        <v>162</v>
      </c>
      <c r="L338" s="21"/>
      <c r="M338" s="14"/>
      <c r="N338" s="26"/>
      <c r="O338" s="24"/>
      <c r="P338" s="16"/>
      <c r="Q338" s="2">
        <f t="shared" si="19"/>
        <v>48</v>
      </c>
    </row>
    <row r="339" spans="1:17" x14ac:dyDescent="0.3">
      <c r="A339" s="2" t="s">
        <v>145</v>
      </c>
      <c r="B339" s="2" t="s">
        <v>140</v>
      </c>
      <c r="C339" s="2">
        <v>49</v>
      </c>
      <c r="D339" s="2">
        <v>6000</v>
      </c>
      <c r="E339" s="2" t="s">
        <v>130</v>
      </c>
      <c r="H339" s="2">
        <f t="shared" ref="H339:H370" si="22">+J339*C339</f>
        <v>2684.2200000000003</v>
      </c>
      <c r="I339" s="29">
        <v>9.1300000000000008</v>
      </c>
      <c r="J339" s="8">
        <f t="shared" ref="J339:J370" si="23">+I339*D339/1000</f>
        <v>54.780000000000008</v>
      </c>
      <c r="K339" s="2" t="s">
        <v>128</v>
      </c>
      <c r="L339" s="21"/>
      <c r="M339" s="14"/>
      <c r="N339" s="26"/>
      <c r="O339" s="24"/>
      <c r="P339" s="16"/>
      <c r="Q339" s="2">
        <f t="shared" si="19"/>
        <v>49</v>
      </c>
    </row>
    <row r="340" spans="1:17" x14ac:dyDescent="0.3">
      <c r="A340" s="2" t="s">
        <v>145</v>
      </c>
      <c r="B340" s="2" t="s">
        <v>143</v>
      </c>
      <c r="C340" s="2">
        <v>4</v>
      </c>
      <c r="D340" s="2">
        <v>12000</v>
      </c>
      <c r="E340" s="2" t="s">
        <v>12</v>
      </c>
      <c r="H340" s="2">
        <f t="shared" si="22"/>
        <v>576</v>
      </c>
      <c r="I340" s="29">
        <v>12</v>
      </c>
      <c r="J340" s="8">
        <f t="shared" si="23"/>
        <v>144</v>
      </c>
      <c r="K340" s="2" t="s">
        <v>128</v>
      </c>
      <c r="L340" s="21"/>
      <c r="M340" s="14"/>
      <c r="N340" s="26"/>
      <c r="O340" s="24"/>
      <c r="P340" s="16"/>
      <c r="Q340" s="2">
        <f t="shared" si="19"/>
        <v>4</v>
      </c>
    </row>
    <row r="341" spans="1:17" x14ac:dyDescent="0.3">
      <c r="A341" s="2" t="s">
        <v>145</v>
      </c>
      <c r="B341" s="2" t="s">
        <v>136</v>
      </c>
      <c r="C341" s="2">
        <v>11</v>
      </c>
      <c r="D341" s="2">
        <v>6000</v>
      </c>
      <c r="E341" s="2" t="s">
        <v>135</v>
      </c>
      <c r="H341" s="2">
        <f t="shared" si="22"/>
        <v>762.3</v>
      </c>
      <c r="I341" s="29">
        <v>11.55</v>
      </c>
      <c r="J341" s="8">
        <f t="shared" si="23"/>
        <v>69.3</v>
      </c>
      <c r="K341" s="2" t="s">
        <v>128</v>
      </c>
      <c r="L341" s="21"/>
      <c r="M341" s="14"/>
      <c r="N341" s="26"/>
      <c r="O341" s="24"/>
      <c r="P341" s="16"/>
      <c r="Q341" s="2">
        <f t="shared" ref="Q341:Q404" si="24">C341-M341+P341</f>
        <v>11</v>
      </c>
    </row>
    <row r="342" spans="1:17" x14ac:dyDescent="0.3">
      <c r="A342" s="2" t="s">
        <v>145</v>
      </c>
      <c r="B342" s="2" t="s">
        <v>136</v>
      </c>
      <c r="C342" s="2">
        <v>20</v>
      </c>
      <c r="D342" s="2">
        <v>12000</v>
      </c>
      <c r="E342" s="2" t="s">
        <v>130</v>
      </c>
      <c r="F342" s="4" t="s">
        <v>144</v>
      </c>
      <c r="H342" s="2">
        <f t="shared" si="22"/>
        <v>2640</v>
      </c>
      <c r="I342" s="29">
        <v>11</v>
      </c>
      <c r="J342" s="8">
        <f t="shared" si="23"/>
        <v>132</v>
      </c>
      <c r="K342" s="2" t="s">
        <v>128</v>
      </c>
      <c r="L342" s="21">
        <v>46153</v>
      </c>
      <c r="M342" s="14">
        <v>12</v>
      </c>
      <c r="N342" s="26"/>
      <c r="O342" s="24"/>
      <c r="P342" s="16"/>
      <c r="Q342" s="2">
        <f t="shared" si="24"/>
        <v>8</v>
      </c>
    </row>
    <row r="343" spans="1:17" x14ac:dyDescent="0.3">
      <c r="A343" s="2" t="s">
        <v>145</v>
      </c>
      <c r="B343" s="2" t="s">
        <v>136</v>
      </c>
      <c r="C343" s="2">
        <v>4</v>
      </c>
      <c r="D343" s="2">
        <v>12000</v>
      </c>
      <c r="E343" s="2" t="s">
        <v>12</v>
      </c>
      <c r="H343" s="2">
        <f t="shared" si="22"/>
        <v>528</v>
      </c>
      <c r="I343" s="29">
        <v>11</v>
      </c>
      <c r="J343" s="8">
        <f t="shared" si="23"/>
        <v>132</v>
      </c>
      <c r="K343" s="2" t="s">
        <v>128</v>
      </c>
      <c r="L343" s="21">
        <v>46153</v>
      </c>
      <c r="M343" s="14">
        <v>4</v>
      </c>
      <c r="N343" s="26"/>
      <c r="O343" s="24"/>
      <c r="P343" s="16"/>
      <c r="Q343" s="2">
        <f t="shared" si="24"/>
        <v>0</v>
      </c>
    </row>
    <row r="344" spans="1:17" x14ac:dyDescent="0.3">
      <c r="A344" s="2" t="s">
        <v>145</v>
      </c>
      <c r="B344" s="2" t="s">
        <v>133</v>
      </c>
      <c r="C344" s="2">
        <v>16</v>
      </c>
      <c r="D344" s="2">
        <v>12000</v>
      </c>
      <c r="E344" s="2" t="s">
        <v>12</v>
      </c>
      <c r="H344" s="2">
        <f t="shared" si="22"/>
        <v>3417.6</v>
      </c>
      <c r="I344" s="29">
        <v>17.8</v>
      </c>
      <c r="J344" s="8">
        <f t="shared" si="23"/>
        <v>213.6</v>
      </c>
      <c r="K344" s="2" t="s">
        <v>128</v>
      </c>
      <c r="L344" s="21"/>
      <c r="M344" s="14"/>
      <c r="N344" s="26"/>
      <c r="O344" s="24"/>
      <c r="P344" s="16"/>
      <c r="Q344" s="2">
        <f t="shared" si="24"/>
        <v>16</v>
      </c>
    </row>
    <row r="345" spans="1:17" x14ac:dyDescent="0.3">
      <c r="A345" s="2" t="s">
        <v>145</v>
      </c>
      <c r="B345" s="2" t="s">
        <v>139</v>
      </c>
      <c r="C345" s="2">
        <v>37</v>
      </c>
      <c r="D345" s="2">
        <v>6000</v>
      </c>
      <c r="E345" s="2" t="s">
        <v>130</v>
      </c>
      <c r="H345" s="2">
        <f t="shared" si="22"/>
        <v>739.26</v>
      </c>
      <c r="I345" s="29">
        <v>3.33</v>
      </c>
      <c r="J345" s="8">
        <f t="shared" si="23"/>
        <v>19.98</v>
      </c>
      <c r="K345" s="2" t="s">
        <v>128</v>
      </c>
      <c r="L345" s="21"/>
      <c r="M345" s="14"/>
      <c r="N345" s="26"/>
      <c r="O345" s="24"/>
      <c r="P345" s="16"/>
      <c r="Q345" s="2">
        <f t="shared" si="24"/>
        <v>37</v>
      </c>
    </row>
    <row r="346" spans="1:17" x14ac:dyDescent="0.3">
      <c r="A346" s="2" t="s">
        <v>145</v>
      </c>
      <c r="B346" s="2" t="s">
        <v>134</v>
      </c>
      <c r="C346" s="2">
        <v>14</v>
      </c>
      <c r="D346" s="2">
        <v>6000</v>
      </c>
      <c r="E346" s="2" t="s">
        <v>135</v>
      </c>
      <c r="H346" s="2">
        <f t="shared" si="22"/>
        <v>460.32000000000005</v>
      </c>
      <c r="I346" s="29">
        <v>5.48</v>
      </c>
      <c r="J346" s="8">
        <f t="shared" si="23"/>
        <v>32.880000000000003</v>
      </c>
      <c r="K346" s="2" t="s">
        <v>128</v>
      </c>
      <c r="L346" s="21"/>
      <c r="M346" s="14"/>
      <c r="N346" s="26"/>
      <c r="O346" s="24"/>
      <c r="P346" s="16"/>
      <c r="Q346" s="2">
        <f t="shared" si="24"/>
        <v>14</v>
      </c>
    </row>
    <row r="347" spans="1:17" x14ac:dyDescent="0.3">
      <c r="A347" s="2" t="s">
        <v>145</v>
      </c>
      <c r="B347" s="2" t="s">
        <v>134</v>
      </c>
      <c r="C347" s="2">
        <v>35</v>
      </c>
      <c r="D347" s="2">
        <v>6000</v>
      </c>
      <c r="E347" s="2" t="s">
        <v>130</v>
      </c>
      <c r="F347" s="4">
        <v>25301995</v>
      </c>
      <c r="H347" s="2">
        <f t="shared" si="22"/>
        <v>1096.2</v>
      </c>
      <c r="I347" s="29">
        <v>5.22</v>
      </c>
      <c r="J347" s="8">
        <f t="shared" si="23"/>
        <v>31.32</v>
      </c>
      <c r="K347" s="2" t="s">
        <v>128</v>
      </c>
      <c r="L347" s="21"/>
      <c r="M347" s="14"/>
      <c r="N347" s="26"/>
      <c r="O347" s="24"/>
      <c r="P347" s="16"/>
      <c r="Q347" s="2">
        <f t="shared" si="24"/>
        <v>35</v>
      </c>
    </row>
    <row r="348" spans="1:17" x14ac:dyDescent="0.3">
      <c r="A348" s="2" t="s">
        <v>145</v>
      </c>
      <c r="B348" s="2" t="s">
        <v>134</v>
      </c>
      <c r="C348" s="2">
        <v>4</v>
      </c>
      <c r="D348" s="2">
        <v>6000</v>
      </c>
      <c r="H348" s="2">
        <f t="shared" si="22"/>
        <v>125.28</v>
      </c>
      <c r="I348" s="29">
        <v>5.22</v>
      </c>
      <c r="J348" s="8">
        <f t="shared" si="23"/>
        <v>31.32</v>
      </c>
      <c r="K348" s="2" t="s">
        <v>128</v>
      </c>
      <c r="L348" s="21"/>
      <c r="M348" s="14"/>
      <c r="N348" s="26"/>
      <c r="O348" s="24"/>
      <c r="P348" s="16"/>
      <c r="Q348" s="2">
        <f t="shared" si="24"/>
        <v>4</v>
      </c>
    </row>
    <row r="349" spans="1:17" x14ac:dyDescent="0.3">
      <c r="A349" s="2" t="s">
        <v>145</v>
      </c>
      <c r="B349" s="2" t="s">
        <v>137</v>
      </c>
      <c r="C349" s="2">
        <v>32</v>
      </c>
      <c r="D349" s="2">
        <v>6000</v>
      </c>
      <c r="E349" s="2" t="s">
        <v>130</v>
      </c>
      <c r="F349" s="4">
        <v>512474</v>
      </c>
      <c r="H349" s="2">
        <f t="shared" si="22"/>
        <v>1272.96</v>
      </c>
      <c r="I349" s="29">
        <v>6.63</v>
      </c>
      <c r="J349" s="8">
        <f t="shared" si="23"/>
        <v>39.78</v>
      </c>
      <c r="K349" s="2" t="s">
        <v>128</v>
      </c>
      <c r="L349" s="21"/>
      <c r="M349" s="14"/>
      <c r="N349" s="26"/>
      <c r="O349" s="24"/>
      <c r="P349" s="16"/>
      <c r="Q349" s="2">
        <f t="shared" si="24"/>
        <v>32</v>
      </c>
    </row>
    <row r="350" spans="1:17" x14ac:dyDescent="0.3">
      <c r="A350" s="2" t="s">
        <v>145</v>
      </c>
      <c r="B350" s="2" t="s">
        <v>137</v>
      </c>
      <c r="C350" s="2">
        <v>19</v>
      </c>
      <c r="D350" s="2">
        <v>12000</v>
      </c>
      <c r="E350" s="2" t="s">
        <v>12</v>
      </c>
      <c r="H350" s="2">
        <f t="shared" si="22"/>
        <v>1511.64</v>
      </c>
      <c r="I350" s="29">
        <v>6.63</v>
      </c>
      <c r="J350" s="8">
        <f t="shared" si="23"/>
        <v>79.56</v>
      </c>
      <c r="K350" s="2" t="s">
        <v>128</v>
      </c>
      <c r="L350" s="21"/>
      <c r="M350" s="14"/>
      <c r="N350" s="26"/>
      <c r="O350" s="24"/>
      <c r="P350" s="16"/>
      <c r="Q350" s="2">
        <f t="shared" si="24"/>
        <v>19</v>
      </c>
    </row>
    <row r="351" spans="1:17" x14ac:dyDescent="0.3">
      <c r="A351" s="2" t="s">
        <v>145</v>
      </c>
      <c r="B351" s="2" t="s">
        <v>141</v>
      </c>
      <c r="C351" s="2">
        <v>56</v>
      </c>
      <c r="D351" s="2">
        <v>6000</v>
      </c>
      <c r="E351" s="2" t="s">
        <v>130</v>
      </c>
      <c r="H351" s="2">
        <f t="shared" si="22"/>
        <v>2684.64</v>
      </c>
      <c r="I351" s="29">
        <v>7.99</v>
      </c>
      <c r="J351" s="8">
        <f t="shared" si="23"/>
        <v>47.94</v>
      </c>
      <c r="K351" s="2" t="s">
        <v>128</v>
      </c>
      <c r="L351" s="21"/>
      <c r="M351" s="14"/>
      <c r="N351" s="26"/>
      <c r="O351" s="24"/>
      <c r="P351" s="16"/>
      <c r="Q351" s="2">
        <f t="shared" si="24"/>
        <v>56</v>
      </c>
    </row>
    <row r="352" spans="1:17" x14ac:dyDescent="0.3">
      <c r="A352" s="2" t="s">
        <v>145</v>
      </c>
      <c r="B352" s="2" t="s">
        <v>138</v>
      </c>
      <c r="C352" s="2">
        <v>77</v>
      </c>
      <c r="D352" s="2">
        <v>6000</v>
      </c>
      <c r="E352" s="2" t="s">
        <v>130</v>
      </c>
      <c r="H352" s="2">
        <f t="shared" si="22"/>
        <v>1353.6599999999999</v>
      </c>
      <c r="I352" s="29">
        <v>2.93</v>
      </c>
      <c r="J352" s="8">
        <f t="shared" si="23"/>
        <v>17.579999999999998</v>
      </c>
      <c r="K352" s="2" t="s">
        <v>128</v>
      </c>
      <c r="L352" s="21"/>
      <c r="M352" s="14"/>
      <c r="N352" s="26"/>
      <c r="O352" s="24"/>
      <c r="P352" s="16"/>
      <c r="Q352" s="2">
        <f t="shared" si="24"/>
        <v>77</v>
      </c>
    </row>
    <row r="353" spans="1:17" x14ac:dyDescent="0.3">
      <c r="A353" s="2" t="s">
        <v>145</v>
      </c>
      <c r="B353" s="2" t="s">
        <v>142</v>
      </c>
      <c r="C353" s="2">
        <v>38</v>
      </c>
      <c r="D353" s="2">
        <v>6000</v>
      </c>
      <c r="E353" s="2" t="s">
        <v>130</v>
      </c>
      <c r="H353" s="2">
        <f t="shared" si="22"/>
        <v>1190.1600000000001</v>
      </c>
      <c r="I353" s="29">
        <v>5.22</v>
      </c>
      <c r="J353" s="8">
        <f t="shared" si="23"/>
        <v>31.32</v>
      </c>
      <c r="K353" s="2" t="s">
        <v>128</v>
      </c>
      <c r="L353" s="21"/>
      <c r="M353" s="14"/>
      <c r="N353" s="26"/>
      <c r="O353" s="24"/>
      <c r="P353" s="16"/>
      <c r="Q353" s="2">
        <f t="shared" si="24"/>
        <v>38</v>
      </c>
    </row>
    <row r="354" spans="1:17" x14ac:dyDescent="0.3">
      <c r="A354" s="2" t="s">
        <v>145</v>
      </c>
      <c r="B354" s="2" t="s">
        <v>164</v>
      </c>
      <c r="C354" s="2">
        <v>2</v>
      </c>
      <c r="D354" s="2">
        <v>12000</v>
      </c>
      <c r="H354" s="2">
        <f t="shared" si="22"/>
        <v>1237.68</v>
      </c>
      <c r="I354" s="29">
        <v>51.57</v>
      </c>
      <c r="J354" s="8">
        <f t="shared" si="23"/>
        <v>618.84</v>
      </c>
      <c r="K354" s="2" t="s">
        <v>128</v>
      </c>
      <c r="L354" s="21"/>
      <c r="M354" s="14"/>
      <c r="N354" s="26"/>
      <c r="O354" s="24"/>
      <c r="P354" s="16"/>
      <c r="Q354" s="2">
        <f t="shared" si="24"/>
        <v>2</v>
      </c>
    </row>
    <row r="355" spans="1:17" x14ac:dyDescent="0.3">
      <c r="A355" s="2" t="s">
        <v>145</v>
      </c>
      <c r="B355" s="2" t="s">
        <v>132</v>
      </c>
      <c r="C355" s="2">
        <v>159</v>
      </c>
      <c r="D355" s="2">
        <v>6000</v>
      </c>
      <c r="E355" s="2" t="s">
        <v>130</v>
      </c>
      <c r="H355" s="2">
        <f t="shared" si="22"/>
        <v>1688.58</v>
      </c>
      <c r="I355" s="29">
        <v>1.77</v>
      </c>
      <c r="J355" s="8">
        <f t="shared" si="23"/>
        <v>10.62</v>
      </c>
      <c r="K355" s="2" t="s">
        <v>128</v>
      </c>
      <c r="L355" s="21"/>
      <c r="M355" s="14"/>
      <c r="N355" s="26"/>
      <c r="O355" s="24"/>
      <c r="P355" s="16"/>
      <c r="Q355" s="2">
        <f t="shared" si="24"/>
        <v>159</v>
      </c>
    </row>
    <row r="356" spans="1:17" x14ac:dyDescent="0.3">
      <c r="A356" s="2" t="s">
        <v>145</v>
      </c>
      <c r="B356" s="2" t="s">
        <v>129</v>
      </c>
      <c r="C356" s="2">
        <v>155</v>
      </c>
      <c r="D356" s="2">
        <v>6000</v>
      </c>
      <c r="E356" s="2" t="s">
        <v>130</v>
      </c>
      <c r="F356" s="4">
        <v>570160</v>
      </c>
      <c r="H356" s="2">
        <f t="shared" si="22"/>
        <v>3115.5</v>
      </c>
      <c r="I356" s="29">
        <v>3.35</v>
      </c>
      <c r="J356" s="8">
        <f t="shared" si="23"/>
        <v>20.100000000000001</v>
      </c>
      <c r="K356" s="2" t="s">
        <v>128</v>
      </c>
      <c r="L356" s="21"/>
      <c r="M356" s="14"/>
      <c r="N356" s="26"/>
      <c r="O356" s="24"/>
      <c r="P356" s="16"/>
      <c r="Q356" s="2">
        <f t="shared" si="24"/>
        <v>155</v>
      </c>
    </row>
    <row r="357" spans="1:17" x14ac:dyDescent="0.3">
      <c r="A357" s="2" t="s">
        <v>145</v>
      </c>
      <c r="B357" s="2" t="s">
        <v>131</v>
      </c>
      <c r="C357" s="2">
        <v>61</v>
      </c>
      <c r="D357" s="2">
        <v>6000</v>
      </c>
      <c r="E357" s="2" t="s">
        <v>130</v>
      </c>
      <c r="F357" s="4">
        <v>511570</v>
      </c>
      <c r="H357" s="2">
        <f t="shared" si="22"/>
        <v>1551.8400000000001</v>
      </c>
      <c r="I357" s="29">
        <v>4.24</v>
      </c>
      <c r="J357" s="8">
        <f t="shared" si="23"/>
        <v>25.44</v>
      </c>
      <c r="K357" s="2" t="s">
        <v>128</v>
      </c>
      <c r="L357" s="21"/>
      <c r="M357" s="14"/>
      <c r="N357" s="26"/>
      <c r="O357" s="24"/>
      <c r="P357" s="16"/>
      <c r="Q357" s="2">
        <f t="shared" si="24"/>
        <v>61</v>
      </c>
    </row>
    <row r="358" spans="1:17" x14ac:dyDescent="0.3">
      <c r="A358" s="2" t="s">
        <v>146</v>
      </c>
      <c r="B358" s="2" t="s">
        <v>32</v>
      </c>
      <c r="C358" s="2">
        <v>7</v>
      </c>
      <c r="D358" s="2">
        <v>12100</v>
      </c>
      <c r="E358" s="2" t="s">
        <v>33</v>
      </c>
      <c r="H358" s="2">
        <f t="shared" si="22"/>
        <v>897.81999999999994</v>
      </c>
      <c r="I358" s="29">
        <v>10.6</v>
      </c>
      <c r="J358" s="8">
        <f t="shared" si="23"/>
        <v>128.26</v>
      </c>
      <c r="K358" s="2">
        <v>1</v>
      </c>
      <c r="L358" s="21"/>
      <c r="M358" s="14"/>
      <c r="N358" s="26"/>
      <c r="O358" s="24"/>
      <c r="P358" s="16"/>
      <c r="Q358" s="2">
        <f t="shared" si="24"/>
        <v>7</v>
      </c>
    </row>
    <row r="359" spans="1:17" x14ac:dyDescent="0.3">
      <c r="A359" s="2" t="s">
        <v>146</v>
      </c>
      <c r="B359" s="2" t="s">
        <v>32</v>
      </c>
      <c r="C359" s="2">
        <v>11</v>
      </c>
      <c r="D359" s="2">
        <v>2200</v>
      </c>
      <c r="H359" s="2">
        <f t="shared" si="22"/>
        <v>256.52</v>
      </c>
      <c r="I359" s="29">
        <v>10.6</v>
      </c>
      <c r="J359" s="8">
        <f t="shared" si="23"/>
        <v>23.32</v>
      </c>
      <c r="K359" s="2">
        <v>11</v>
      </c>
      <c r="L359" s="21"/>
      <c r="M359" s="14"/>
      <c r="N359" s="26"/>
      <c r="O359" s="24"/>
      <c r="P359" s="16"/>
      <c r="Q359" s="2">
        <f t="shared" si="24"/>
        <v>11</v>
      </c>
    </row>
    <row r="360" spans="1:17" x14ac:dyDescent="0.3">
      <c r="A360" s="2" t="s">
        <v>146</v>
      </c>
      <c r="B360" s="2" t="s">
        <v>63</v>
      </c>
      <c r="C360" s="2">
        <v>15</v>
      </c>
      <c r="D360" s="2">
        <v>12100</v>
      </c>
      <c r="H360" s="2">
        <f t="shared" si="22"/>
        <v>2432.1</v>
      </c>
      <c r="I360" s="29">
        <v>13.4</v>
      </c>
      <c r="J360" s="8">
        <f t="shared" si="23"/>
        <v>162.13999999999999</v>
      </c>
      <c r="K360" s="2">
        <v>3</v>
      </c>
      <c r="L360" s="21"/>
      <c r="M360" s="14"/>
      <c r="N360" s="26"/>
      <c r="O360" s="24"/>
      <c r="P360" s="16"/>
      <c r="Q360" s="2">
        <f t="shared" si="24"/>
        <v>15</v>
      </c>
    </row>
    <row r="361" spans="1:17" x14ac:dyDescent="0.3">
      <c r="A361" s="2" t="s">
        <v>146</v>
      </c>
      <c r="B361" s="2" t="s">
        <v>63</v>
      </c>
      <c r="C361" s="2">
        <v>1</v>
      </c>
      <c r="D361" s="2">
        <v>300</v>
      </c>
      <c r="H361" s="2">
        <f t="shared" si="22"/>
        <v>4.0199999999999996</v>
      </c>
      <c r="I361" s="29">
        <v>13.4</v>
      </c>
      <c r="J361" s="8">
        <f t="shared" si="23"/>
        <v>4.0199999999999996</v>
      </c>
      <c r="K361" s="2">
        <v>11</v>
      </c>
      <c r="L361" s="21"/>
      <c r="M361" s="14"/>
      <c r="N361" s="26"/>
      <c r="O361" s="24"/>
      <c r="P361" s="16"/>
      <c r="Q361" s="2">
        <f t="shared" si="24"/>
        <v>1</v>
      </c>
    </row>
    <row r="362" spans="1:17" x14ac:dyDescent="0.3">
      <c r="A362" s="2" t="s">
        <v>146</v>
      </c>
      <c r="B362" s="2" t="s">
        <v>24</v>
      </c>
      <c r="C362" s="2">
        <v>128</v>
      </c>
      <c r="D362" s="2">
        <v>9100</v>
      </c>
      <c r="E362" s="2" t="s">
        <v>19</v>
      </c>
      <c r="F362" s="4" t="s">
        <v>25</v>
      </c>
      <c r="H362" s="2">
        <f t="shared" si="22"/>
        <v>18636.8</v>
      </c>
      <c r="I362" s="29">
        <v>16</v>
      </c>
      <c r="J362" s="8">
        <f t="shared" si="23"/>
        <v>145.6</v>
      </c>
      <c r="K362" s="2">
        <v>1</v>
      </c>
      <c r="L362" s="21"/>
      <c r="M362" s="14"/>
      <c r="N362" s="26"/>
      <c r="O362" s="24"/>
      <c r="P362" s="16"/>
      <c r="Q362" s="2">
        <f t="shared" si="24"/>
        <v>128</v>
      </c>
    </row>
    <row r="363" spans="1:17" x14ac:dyDescent="0.3">
      <c r="A363" s="2" t="s">
        <v>146</v>
      </c>
      <c r="B363" s="2" t="s">
        <v>24</v>
      </c>
      <c r="C363" s="2">
        <v>1</v>
      </c>
      <c r="D363" s="2">
        <v>7000</v>
      </c>
      <c r="H363" s="2">
        <f t="shared" si="22"/>
        <v>112</v>
      </c>
      <c r="I363" s="29">
        <v>16</v>
      </c>
      <c r="J363" s="8">
        <f t="shared" si="23"/>
        <v>112</v>
      </c>
      <c r="K363" s="2">
        <v>2</v>
      </c>
      <c r="L363" s="21"/>
      <c r="M363" s="14"/>
      <c r="N363" s="26"/>
      <c r="O363" s="24"/>
      <c r="P363" s="16"/>
      <c r="Q363" s="2">
        <f t="shared" si="24"/>
        <v>1</v>
      </c>
    </row>
    <row r="364" spans="1:17" x14ac:dyDescent="0.3">
      <c r="A364" s="2" t="s">
        <v>146</v>
      </c>
      <c r="B364" s="2" t="s">
        <v>24</v>
      </c>
      <c r="C364" s="2">
        <v>12</v>
      </c>
      <c r="D364" s="2">
        <v>12100</v>
      </c>
      <c r="E364" s="2" t="s">
        <v>64</v>
      </c>
      <c r="F364" s="4" t="s">
        <v>65</v>
      </c>
      <c r="H364" s="2">
        <f t="shared" si="22"/>
        <v>2323.1999999999998</v>
      </c>
      <c r="I364" s="29">
        <v>16</v>
      </c>
      <c r="J364" s="8">
        <f t="shared" si="23"/>
        <v>193.6</v>
      </c>
      <c r="K364" s="2">
        <v>4</v>
      </c>
      <c r="L364" s="21"/>
      <c r="M364" s="14"/>
      <c r="N364" s="26"/>
      <c r="O364" s="24"/>
      <c r="P364" s="16"/>
      <c r="Q364" s="2">
        <f t="shared" si="24"/>
        <v>12</v>
      </c>
    </row>
    <row r="365" spans="1:17" x14ac:dyDescent="0.3">
      <c r="A365" s="2" t="s">
        <v>146</v>
      </c>
      <c r="B365" s="2" t="s">
        <v>37</v>
      </c>
      <c r="C365" s="2">
        <f>12+9</f>
        <v>21</v>
      </c>
      <c r="D365" s="2">
        <v>12100</v>
      </c>
      <c r="G365" s="2" t="s">
        <v>17</v>
      </c>
      <c r="H365" s="2">
        <f t="shared" si="22"/>
        <v>4777.08</v>
      </c>
      <c r="I365" s="29">
        <v>18.8</v>
      </c>
      <c r="J365" s="8">
        <f t="shared" si="23"/>
        <v>227.48</v>
      </c>
      <c r="K365" s="2">
        <v>1</v>
      </c>
      <c r="L365" s="21"/>
      <c r="M365" s="14"/>
      <c r="N365" s="26"/>
      <c r="O365" s="24"/>
      <c r="P365" s="16"/>
      <c r="Q365" s="2">
        <f t="shared" si="24"/>
        <v>21</v>
      </c>
    </row>
    <row r="366" spans="1:17" x14ac:dyDescent="0.3">
      <c r="A366" s="2" t="s">
        <v>146</v>
      </c>
      <c r="B366" s="2" t="s">
        <v>37</v>
      </c>
      <c r="C366" s="2">
        <v>3</v>
      </c>
      <c r="D366" s="2">
        <v>12100</v>
      </c>
      <c r="F366" s="4" t="s">
        <v>60</v>
      </c>
      <c r="H366" s="2">
        <f t="shared" si="22"/>
        <v>682.43999999999994</v>
      </c>
      <c r="I366" s="29">
        <v>18.8</v>
      </c>
      <c r="J366" s="8">
        <f t="shared" si="23"/>
        <v>227.48</v>
      </c>
      <c r="K366" s="2">
        <v>3</v>
      </c>
      <c r="L366" s="21"/>
      <c r="M366" s="14"/>
      <c r="N366" s="26"/>
      <c r="O366" s="24"/>
      <c r="P366" s="16"/>
      <c r="Q366" s="2">
        <f t="shared" si="24"/>
        <v>3</v>
      </c>
    </row>
    <row r="367" spans="1:17" x14ac:dyDescent="0.3">
      <c r="A367" s="2" t="s">
        <v>146</v>
      </c>
      <c r="B367" s="2" t="s">
        <v>37</v>
      </c>
      <c r="C367" s="2">
        <v>3</v>
      </c>
      <c r="D367" s="2">
        <v>12100</v>
      </c>
      <c r="H367" s="2">
        <f t="shared" si="22"/>
        <v>682.43999999999994</v>
      </c>
      <c r="I367" s="29">
        <v>18.8</v>
      </c>
      <c r="J367" s="8">
        <f t="shared" si="23"/>
        <v>227.48</v>
      </c>
      <c r="K367" s="2">
        <v>3</v>
      </c>
      <c r="L367" s="21"/>
      <c r="M367" s="14"/>
      <c r="N367" s="26"/>
      <c r="O367" s="24"/>
      <c r="P367" s="16"/>
      <c r="Q367" s="2">
        <f t="shared" si="24"/>
        <v>3</v>
      </c>
    </row>
    <row r="368" spans="1:17" x14ac:dyDescent="0.3">
      <c r="A368" s="2" t="s">
        <v>146</v>
      </c>
      <c r="B368" s="2" t="s">
        <v>37</v>
      </c>
      <c r="C368" s="2">
        <v>8</v>
      </c>
      <c r="D368" s="2">
        <v>12100</v>
      </c>
      <c r="H368" s="2">
        <f t="shared" si="22"/>
        <v>1819.84</v>
      </c>
      <c r="I368" s="29">
        <v>18.8</v>
      </c>
      <c r="J368" s="8">
        <f t="shared" si="23"/>
        <v>227.48</v>
      </c>
      <c r="K368" s="2">
        <v>4</v>
      </c>
      <c r="L368" s="21"/>
      <c r="M368" s="14"/>
      <c r="N368" s="26"/>
      <c r="O368" s="24"/>
      <c r="P368" s="16"/>
      <c r="Q368" s="2">
        <f t="shared" si="24"/>
        <v>8</v>
      </c>
    </row>
    <row r="369" spans="1:17" x14ac:dyDescent="0.3">
      <c r="A369" s="2" t="s">
        <v>146</v>
      </c>
      <c r="B369" s="2" t="s">
        <v>37</v>
      </c>
      <c r="C369" s="2">
        <v>1</v>
      </c>
      <c r="D369" s="2">
        <v>10000</v>
      </c>
      <c r="H369" s="2">
        <f t="shared" si="22"/>
        <v>188</v>
      </c>
      <c r="I369" s="29">
        <v>18.8</v>
      </c>
      <c r="J369" s="8">
        <f t="shared" si="23"/>
        <v>188</v>
      </c>
      <c r="K369" s="2">
        <v>4</v>
      </c>
      <c r="L369" s="21"/>
      <c r="M369" s="14"/>
      <c r="N369" s="26"/>
      <c r="O369" s="24"/>
      <c r="P369" s="16"/>
      <c r="Q369" s="2">
        <f t="shared" si="24"/>
        <v>1</v>
      </c>
    </row>
    <row r="370" spans="1:17" x14ac:dyDescent="0.3">
      <c r="A370" s="2" t="s">
        <v>146</v>
      </c>
      <c r="B370" s="2" t="s">
        <v>37</v>
      </c>
      <c r="C370" s="2">
        <v>10</v>
      </c>
      <c r="D370" s="2">
        <v>12100</v>
      </c>
      <c r="E370" s="2" t="s">
        <v>19</v>
      </c>
      <c r="F370" s="4">
        <v>653135</v>
      </c>
      <c r="H370" s="2">
        <f t="shared" si="22"/>
        <v>2274.7999999999997</v>
      </c>
      <c r="I370" s="29">
        <v>18.8</v>
      </c>
      <c r="J370" s="8">
        <f t="shared" si="23"/>
        <v>227.48</v>
      </c>
      <c r="K370" s="2">
        <v>6</v>
      </c>
      <c r="L370" s="21"/>
      <c r="M370" s="14"/>
      <c r="N370" s="26"/>
      <c r="O370" s="24"/>
      <c r="P370" s="16"/>
      <c r="Q370" s="2">
        <f t="shared" si="24"/>
        <v>10</v>
      </c>
    </row>
    <row r="371" spans="1:17" x14ac:dyDescent="0.3">
      <c r="A371" s="2" t="s">
        <v>146</v>
      </c>
      <c r="B371" s="2" t="s">
        <v>37</v>
      </c>
      <c r="C371" s="2">
        <v>1</v>
      </c>
      <c r="D371" s="2">
        <v>3900</v>
      </c>
      <c r="H371" s="2">
        <f t="shared" ref="H371:H408" si="25">+J371*C371</f>
        <v>73.319999999999993</v>
      </c>
      <c r="I371" s="29">
        <v>18.8</v>
      </c>
      <c r="J371" s="8">
        <f t="shared" ref="J371:J402" si="26">+I371*D371/1000</f>
        <v>73.319999999999993</v>
      </c>
      <c r="K371" s="2">
        <v>11</v>
      </c>
      <c r="L371" s="21"/>
      <c r="M371" s="14"/>
      <c r="N371" s="26"/>
      <c r="O371" s="24"/>
      <c r="P371" s="16"/>
      <c r="Q371" s="2">
        <f t="shared" si="24"/>
        <v>1</v>
      </c>
    </row>
    <row r="372" spans="1:17" x14ac:dyDescent="0.3">
      <c r="A372" s="2" t="s">
        <v>146</v>
      </c>
      <c r="B372" s="2" t="s">
        <v>26</v>
      </c>
      <c r="C372" s="2">
        <v>24</v>
      </c>
      <c r="D372" s="2">
        <v>9100</v>
      </c>
      <c r="E372" s="2" t="s">
        <v>19</v>
      </c>
      <c r="F372" s="4" t="s">
        <v>27</v>
      </c>
      <c r="H372" s="2">
        <f t="shared" si="25"/>
        <v>4804.7999999999993</v>
      </c>
      <c r="I372" s="29">
        <v>22</v>
      </c>
      <c r="J372" s="8">
        <f t="shared" si="26"/>
        <v>200.2</v>
      </c>
      <c r="K372" s="2">
        <v>1</v>
      </c>
      <c r="L372" s="21"/>
      <c r="M372" s="14"/>
      <c r="N372" s="26"/>
      <c r="O372" s="24"/>
      <c r="P372" s="16"/>
      <c r="Q372" s="2">
        <f t="shared" si="24"/>
        <v>24</v>
      </c>
    </row>
    <row r="373" spans="1:17" x14ac:dyDescent="0.3">
      <c r="A373" s="2" t="s">
        <v>146</v>
      </c>
      <c r="B373" s="2" t="s">
        <v>26</v>
      </c>
      <c r="C373" s="2">
        <v>2</v>
      </c>
      <c r="D373" s="2">
        <v>12100</v>
      </c>
      <c r="F373" s="2" t="s">
        <v>59</v>
      </c>
      <c r="H373" s="2">
        <f t="shared" si="25"/>
        <v>532.4</v>
      </c>
      <c r="I373" s="29">
        <v>22</v>
      </c>
      <c r="J373" s="8">
        <f t="shared" si="26"/>
        <v>266.2</v>
      </c>
      <c r="K373" s="2">
        <v>3</v>
      </c>
      <c r="L373" s="21"/>
      <c r="M373" s="14"/>
      <c r="N373" s="26"/>
      <c r="O373" s="24"/>
      <c r="P373" s="16"/>
      <c r="Q373" s="2">
        <f t="shared" si="24"/>
        <v>2</v>
      </c>
    </row>
    <row r="374" spans="1:17" x14ac:dyDescent="0.3">
      <c r="A374" s="2" t="s">
        <v>146</v>
      </c>
      <c r="B374" s="2" t="s">
        <v>83</v>
      </c>
      <c r="C374" s="2">
        <v>2</v>
      </c>
      <c r="D374" s="2">
        <v>12100</v>
      </c>
      <c r="H374" s="2">
        <f t="shared" si="25"/>
        <v>532.4</v>
      </c>
      <c r="I374" s="29">
        <v>22</v>
      </c>
      <c r="J374" s="8">
        <f t="shared" si="26"/>
        <v>266.2</v>
      </c>
      <c r="K374" s="2">
        <v>6</v>
      </c>
      <c r="L374" s="21"/>
      <c r="M374" s="14"/>
      <c r="N374" s="26"/>
      <c r="O374" s="24"/>
      <c r="P374" s="16"/>
      <c r="Q374" s="2">
        <f t="shared" si="24"/>
        <v>2</v>
      </c>
    </row>
    <row r="375" spans="1:17" x14ac:dyDescent="0.3">
      <c r="A375" s="2" t="s">
        <v>146</v>
      </c>
      <c r="B375" s="2" t="s">
        <v>50</v>
      </c>
      <c r="C375" s="2">
        <f>21+17+17+21</f>
        <v>76</v>
      </c>
      <c r="D375" s="2">
        <v>9100</v>
      </c>
      <c r="E375" s="2" t="s">
        <v>13</v>
      </c>
      <c r="F375" s="4">
        <v>631238</v>
      </c>
      <c r="G375" s="2" t="s">
        <v>17</v>
      </c>
      <c r="H375" s="2">
        <f t="shared" si="25"/>
        <v>17497.48</v>
      </c>
      <c r="I375" s="29">
        <v>25.3</v>
      </c>
      <c r="J375" s="8">
        <f t="shared" si="26"/>
        <v>230.23</v>
      </c>
      <c r="K375" s="2">
        <v>2</v>
      </c>
      <c r="L375" s="21"/>
      <c r="M375" s="14"/>
      <c r="N375" s="26"/>
      <c r="O375" s="24"/>
      <c r="P375" s="16"/>
      <c r="Q375" s="2">
        <f t="shared" si="24"/>
        <v>76</v>
      </c>
    </row>
    <row r="376" spans="1:17" x14ac:dyDescent="0.3">
      <c r="A376" s="2" t="s">
        <v>146</v>
      </c>
      <c r="B376" s="2" t="s">
        <v>50</v>
      </c>
      <c r="C376" s="2">
        <v>20</v>
      </c>
      <c r="D376" s="2">
        <v>9700</v>
      </c>
      <c r="E376" s="2" t="s">
        <v>13</v>
      </c>
      <c r="F376" s="4">
        <v>631372</v>
      </c>
      <c r="G376" s="2" t="s">
        <v>17</v>
      </c>
      <c r="H376" s="2">
        <f t="shared" si="25"/>
        <v>4908.2</v>
      </c>
      <c r="I376" s="29">
        <v>25.3</v>
      </c>
      <c r="J376" s="8">
        <f t="shared" si="26"/>
        <v>245.41</v>
      </c>
      <c r="K376" s="2">
        <v>2</v>
      </c>
      <c r="L376" s="21"/>
      <c r="M376" s="14"/>
      <c r="N376" s="26"/>
      <c r="O376" s="24"/>
      <c r="P376" s="16"/>
      <c r="Q376" s="2">
        <f t="shared" si="24"/>
        <v>20</v>
      </c>
    </row>
    <row r="377" spans="1:17" x14ac:dyDescent="0.3">
      <c r="A377" s="2" t="s">
        <v>146</v>
      </c>
      <c r="B377" s="2" t="s">
        <v>50</v>
      </c>
      <c r="C377" s="2">
        <v>5</v>
      </c>
      <c r="D377" s="2">
        <v>12100</v>
      </c>
      <c r="H377" s="2">
        <f t="shared" si="25"/>
        <v>1530.65</v>
      </c>
      <c r="I377" s="29">
        <v>25.3</v>
      </c>
      <c r="J377" s="8">
        <f t="shared" si="26"/>
        <v>306.13</v>
      </c>
      <c r="K377" s="2">
        <v>3</v>
      </c>
      <c r="L377" s="21"/>
      <c r="M377" s="14"/>
      <c r="N377" s="26"/>
      <c r="O377" s="24"/>
      <c r="P377" s="16"/>
      <c r="Q377" s="2">
        <f t="shared" si="24"/>
        <v>5</v>
      </c>
    </row>
    <row r="378" spans="1:17" x14ac:dyDescent="0.3">
      <c r="A378" s="2" t="s">
        <v>146</v>
      </c>
      <c r="B378" s="2" t="s">
        <v>50</v>
      </c>
      <c r="C378" s="2">
        <v>1</v>
      </c>
      <c r="D378" s="2">
        <v>4850</v>
      </c>
      <c r="H378" s="2">
        <f t="shared" si="25"/>
        <v>122.705</v>
      </c>
      <c r="I378" s="29">
        <v>25.3</v>
      </c>
      <c r="J378" s="8">
        <f t="shared" si="26"/>
        <v>122.705</v>
      </c>
      <c r="K378" s="2">
        <v>4</v>
      </c>
      <c r="L378" s="21"/>
      <c r="M378" s="14"/>
      <c r="N378" s="26"/>
      <c r="O378" s="24"/>
      <c r="P378" s="16"/>
      <c r="Q378" s="2">
        <f t="shared" si="24"/>
        <v>1</v>
      </c>
    </row>
    <row r="379" spans="1:17" x14ac:dyDescent="0.3">
      <c r="A379" s="2" t="s">
        <v>146</v>
      </c>
      <c r="B379" s="2" t="s">
        <v>50</v>
      </c>
      <c r="C379" s="2">
        <v>1</v>
      </c>
      <c r="D379" s="2">
        <v>9700</v>
      </c>
      <c r="H379" s="2">
        <f t="shared" si="25"/>
        <v>245.41</v>
      </c>
      <c r="I379" s="29">
        <v>25.3</v>
      </c>
      <c r="J379" s="8">
        <f t="shared" si="26"/>
        <v>245.41</v>
      </c>
      <c r="K379" s="2">
        <v>4</v>
      </c>
      <c r="L379" s="21"/>
      <c r="M379" s="14"/>
      <c r="N379" s="26"/>
      <c r="O379" s="24"/>
      <c r="P379" s="16"/>
      <c r="Q379" s="2">
        <f t="shared" si="24"/>
        <v>1</v>
      </c>
    </row>
    <row r="380" spans="1:17" x14ac:dyDescent="0.3">
      <c r="A380" s="2" t="s">
        <v>146</v>
      </c>
      <c r="B380" s="2" t="s">
        <v>50</v>
      </c>
      <c r="C380" s="2">
        <v>1</v>
      </c>
      <c r="D380" s="2">
        <v>1500</v>
      </c>
      <c r="H380" s="2">
        <f t="shared" si="25"/>
        <v>37.950000000000003</v>
      </c>
      <c r="I380" s="29">
        <v>25.3</v>
      </c>
      <c r="J380" s="8">
        <f t="shared" si="26"/>
        <v>37.950000000000003</v>
      </c>
      <c r="K380" s="2">
        <v>9</v>
      </c>
      <c r="L380" s="21"/>
      <c r="M380" s="14"/>
      <c r="N380" s="26"/>
      <c r="O380" s="24"/>
      <c r="P380" s="16"/>
      <c r="Q380" s="2">
        <f t="shared" si="24"/>
        <v>1</v>
      </c>
    </row>
    <row r="381" spans="1:17" x14ac:dyDescent="0.3">
      <c r="A381" s="2" t="s">
        <v>146</v>
      </c>
      <c r="B381" s="2" t="s">
        <v>10</v>
      </c>
      <c r="C381" s="2">
        <v>1</v>
      </c>
      <c r="D381" s="2">
        <v>6300</v>
      </c>
      <c r="F381" s="4">
        <v>73070</v>
      </c>
      <c r="H381" s="2">
        <f t="shared" si="25"/>
        <v>185.22</v>
      </c>
      <c r="I381" s="29">
        <v>29.4</v>
      </c>
      <c r="J381" s="8">
        <f t="shared" si="26"/>
        <v>185.22</v>
      </c>
      <c r="K381" s="2">
        <v>6</v>
      </c>
      <c r="L381" s="21"/>
      <c r="M381" s="14"/>
      <c r="N381" s="26"/>
      <c r="O381" s="24"/>
      <c r="P381" s="16"/>
      <c r="Q381" s="2">
        <f t="shared" si="24"/>
        <v>1</v>
      </c>
    </row>
    <row r="382" spans="1:17" x14ac:dyDescent="0.3">
      <c r="A382" s="2" t="s">
        <v>146</v>
      </c>
      <c r="B382" s="2" t="s">
        <v>10</v>
      </c>
      <c r="C382" s="2">
        <v>7</v>
      </c>
      <c r="D382" s="2">
        <v>12100</v>
      </c>
      <c r="F382" s="4">
        <v>73070</v>
      </c>
      <c r="H382" s="2">
        <f t="shared" si="25"/>
        <v>2490.1800000000003</v>
      </c>
      <c r="I382" s="29">
        <v>29.4</v>
      </c>
      <c r="J382" s="8">
        <f t="shared" si="26"/>
        <v>355.74</v>
      </c>
      <c r="K382" s="2">
        <v>6</v>
      </c>
      <c r="L382" s="21"/>
      <c r="M382" s="14"/>
      <c r="N382" s="26"/>
      <c r="O382" s="24"/>
      <c r="P382" s="16"/>
      <c r="Q382" s="2">
        <f t="shared" si="24"/>
        <v>7</v>
      </c>
    </row>
    <row r="383" spans="1:17" x14ac:dyDescent="0.3">
      <c r="A383" s="2" t="s">
        <v>146</v>
      </c>
      <c r="B383" s="2" t="s">
        <v>10</v>
      </c>
      <c r="C383" s="2">
        <v>1</v>
      </c>
      <c r="D383" s="2">
        <v>5000</v>
      </c>
      <c r="H383" s="2">
        <f t="shared" si="25"/>
        <v>147</v>
      </c>
      <c r="I383" s="29">
        <v>29.4</v>
      </c>
      <c r="J383" s="8">
        <f t="shared" si="26"/>
        <v>147</v>
      </c>
      <c r="K383" s="2">
        <v>9</v>
      </c>
      <c r="L383" s="21"/>
      <c r="M383" s="14"/>
      <c r="N383" s="26"/>
      <c r="O383" s="24"/>
      <c r="P383" s="16"/>
      <c r="Q383" s="2">
        <f t="shared" si="24"/>
        <v>1</v>
      </c>
    </row>
    <row r="384" spans="1:17" x14ac:dyDescent="0.3">
      <c r="A384" s="2" t="s">
        <v>146</v>
      </c>
      <c r="B384" s="2" t="s">
        <v>10</v>
      </c>
      <c r="C384" s="2">
        <v>1</v>
      </c>
      <c r="D384" s="2">
        <v>3500</v>
      </c>
      <c r="H384" s="2">
        <f t="shared" si="25"/>
        <v>102.9</v>
      </c>
      <c r="I384" s="29">
        <v>29.4</v>
      </c>
      <c r="J384" s="8">
        <f t="shared" si="26"/>
        <v>102.9</v>
      </c>
      <c r="K384" s="2">
        <v>11</v>
      </c>
      <c r="L384" s="21"/>
      <c r="M384" s="14"/>
      <c r="N384" s="26"/>
      <c r="O384" s="24"/>
      <c r="P384" s="16"/>
      <c r="Q384" s="2">
        <f t="shared" si="24"/>
        <v>1</v>
      </c>
    </row>
    <row r="385" spans="1:17" x14ac:dyDescent="0.3">
      <c r="A385" s="2" t="s">
        <v>146</v>
      </c>
      <c r="B385" s="2" t="s">
        <v>10</v>
      </c>
      <c r="C385" s="2">
        <v>1</v>
      </c>
      <c r="D385" s="2">
        <v>2800</v>
      </c>
      <c r="H385" s="2">
        <f t="shared" si="25"/>
        <v>82.32</v>
      </c>
      <c r="I385" s="29">
        <v>29.4</v>
      </c>
      <c r="J385" s="8">
        <f t="shared" si="26"/>
        <v>82.32</v>
      </c>
      <c r="K385" s="2">
        <v>11</v>
      </c>
      <c r="L385" s="21"/>
      <c r="M385" s="14"/>
      <c r="N385" s="26"/>
      <c r="O385" s="24"/>
      <c r="P385" s="16"/>
      <c r="Q385" s="2">
        <f t="shared" si="24"/>
        <v>1</v>
      </c>
    </row>
    <row r="386" spans="1:17" x14ac:dyDescent="0.3">
      <c r="A386" s="2" t="s">
        <v>146</v>
      </c>
      <c r="B386" s="2" t="s">
        <v>10</v>
      </c>
      <c r="C386" s="2">
        <v>1</v>
      </c>
      <c r="D386" s="2">
        <v>2800</v>
      </c>
      <c r="H386" s="2">
        <f t="shared" si="25"/>
        <v>82.32</v>
      </c>
      <c r="I386" s="29">
        <v>29.4</v>
      </c>
      <c r="J386" s="8">
        <f t="shared" si="26"/>
        <v>82.32</v>
      </c>
      <c r="K386" s="2">
        <v>11</v>
      </c>
      <c r="L386" s="21"/>
      <c r="M386" s="14"/>
      <c r="N386" s="26"/>
      <c r="O386" s="24"/>
      <c r="P386" s="16"/>
      <c r="Q386" s="2">
        <f t="shared" si="24"/>
        <v>1</v>
      </c>
    </row>
    <row r="387" spans="1:17" x14ac:dyDescent="0.3">
      <c r="A387" s="2" t="s">
        <v>146</v>
      </c>
      <c r="B387" s="2" t="s">
        <v>81</v>
      </c>
      <c r="C387" s="2">
        <v>4</v>
      </c>
      <c r="D387" s="2">
        <v>10000</v>
      </c>
      <c r="H387" s="2">
        <f t="shared" si="25"/>
        <v>1328</v>
      </c>
      <c r="I387" s="29">
        <v>33.200000000000003</v>
      </c>
      <c r="J387" s="8">
        <f t="shared" si="26"/>
        <v>332</v>
      </c>
      <c r="K387" s="2">
        <v>6</v>
      </c>
      <c r="L387" s="21"/>
      <c r="M387" s="14"/>
      <c r="N387" s="26"/>
      <c r="O387" s="24"/>
      <c r="P387" s="16"/>
      <c r="Q387" s="2">
        <f t="shared" si="24"/>
        <v>4</v>
      </c>
    </row>
    <row r="388" spans="1:17" x14ac:dyDescent="0.3">
      <c r="A388" s="2" t="s">
        <v>146</v>
      </c>
      <c r="B388" s="2" t="s">
        <v>81</v>
      </c>
      <c r="C388" s="2">
        <v>5</v>
      </c>
      <c r="D388" s="2">
        <v>8100</v>
      </c>
      <c r="H388" s="2">
        <f t="shared" si="25"/>
        <v>1344.6000000000001</v>
      </c>
      <c r="I388" s="29">
        <v>33.200000000000003</v>
      </c>
      <c r="J388" s="8">
        <f t="shared" si="26"/>
        <v>268.92</v>
      </c>
      <c r="K388" s="2">
        <v>6</v>
      </c>
      <c r="L388" s="21"/>
      <c r="M388" s="14"/>
      <c r="N388" s="26"/>
      <c r="O388" s="24"/>
      <c r="P388" s="16"/>
      <c r="Q388" s="2">
        <f t="shared" si="24"/>
        <v>5</v>
      </c>
    </row>
    <row r="389" spans="1:17" x14ac:dyDescent="0.3">
      <c r="A389" s="2" t="s">
        <v>146</v>
      </c>
      <c r="B389" s="2" t="s">
        <v>81</v>
      </c>
      <c r="C389" s="2">
        <v>1</v>
      </c>
      <c r="D389" s="2">
        <v>1500</v>
      </c>
      <c r="H389" s="2">
        <f t="shared" si="25"/>
        <v>49.800000000000004</v>
      </c>
      <c r="I389" s="29">
        <v>33.200000000000003</v>
      </c>
      <c r="J389" s="8">
        <f t="shared" si="26"/>
        <v>49.800000000000004</v>
      </c>
      <c r="K389" s="2">
        <v>8</v>
      </c>
      <c r="L389" s="21"/>
      <c r="M389" s="14"/>
      <c r="N389" s="26"/>
      <c r="O389" s="24"/>
      <c r="P389" s="16"/>
      <c r="Q389" s="2">
        <f t="shared" si="24"/>
        <v>1</v>
      </c>
    </row>
    <row r="390" spans="1:17" x14ac:dyDescent="0.3">
      <c r="A390" s="2" t="s">
        <v>146</v>
      </c>
      <c r="B390" s="2" t="s">
        <v>81</v>
      </c>
      <c r="C390" s="2">
        <v>1</v>
      </c>
      <c r="D390" s="2">
        <v>4600</v>
      </c>
      <c r="H390" s="2">
        <f t="shared" si="25"/>
        <v>152.72</v>
      </c>
      <c r="I390" s="29">
        <v>33.200000000000003</v>
      </c>
      <c r="J390" s="8">
        <f t="shared" si="26"/>
        <v>152.72</v>
      </c>
      <c r="K390" s="2">
        <v>9</v>
      </c>
      <c r="L390" s="21"/>
      <c r="M390" s="14"/>
      <c r="N390" s="26"/>
      <c r="O390" s="24"/>
      <c r="P390" s="16"/>
      <c r="Q390" s="2">
        <f t="shared" si="24"/>
        <v>1</v>
      </c>
    </row>
    <row r="391" spans="1:17" x14ac:dyDescent="0.3">
      <c r="A391" s="2" t="s">
        <v>146</v>
      </c>
      <c r="B391" s="2" t="s">
        <v>81</v>
      </c>
      <c r="C391" s="2">
        <v>1</v>
      </c>
      <c r="D391" s="2">
        <v>3800</v>
      </c>
      <c r="H391" s="2">
        <f t="shared" si="25"/>
        <v>126.16000000000001</v>
      </c>
      <c r="I391" s="29">
        <v>33.200000000000003</v>
      </c>
      <c r="J391" s="8">
        <f t="shared" si="26"/>
        <v>126.16000000000001</v>
      </c>
      <c r="K391" s="2">
        <v>9</v>
      </c>
      <c r="L391" s="21"/>
      <c r="M391" s="14"/>
      <c r="N391" s="26"/>
      <c r="O391" s="24"/>
      <c r="P391" s="16"/>
      <c r="Q391" s="2">
        <f t="shared" si="24"/>
        <v>1</v>
      </c>
    </row>
    <row r="392" spans="1:17" x14ac:dyDescent="0.3">
      <c r="A392" s="2" t="s">
        <v>146</v>
      </c>
      <c r="B392" s="2" t="s">
        <v>81</v>
      </c>
      <c r="C392" s="2">
        <v>1</v>
      </c>
      <c r="D392" s="4">
        <v>4100</v>
      </c>
      <c r="H392" s="2">
        <f t="shared" si="25"/>
        <v>136.12</v>
      </c>
      <c r="I392" s="29">
        <v>33.200000000000003</v>
      </c>
      <c r="J392" s="8">
        <f t="shared" si="26"/>
        <v>136.12</v>
      </c>
      <c r="K392" s="2">
        <v>11</v>
      </c>
      <c r="L392" s="21"/>
      <c r="M392" s="14"/>
      <c r="N392" s="26"/>
      <c r="O392" s="24"/>
      <c r="P392" s="16"/>
      <c r="Q392" s="2">
        <f t="shared" si="24"/>
        <v>1</v>
      </c>
    </row>
    <row r="393" spans="1:17" x14ac:dyDescent="0.3">
      <c r="A393" s="2" t="s">
        <v>146</v>
      </c>
      <c r="B393" s="2" t="s">
        <v>85</v>
      </c>
      <c r="C393" s="2">
        <v>4</v>
      </c>
      <c r="D393" s="2">
        <v>12100</v>
      </c>
      <c r="E393" s="2" t="s">
        <v>33</v>
      </c>
      <c r="H393" s="2">
        <f t="shared" si="25"/>
        <v>2023.1199999999997</v>
      </c>
      <c r="I393" s="29">
        <v>41.8</v>
      </c>
      <c r="J393" s="8">
        <f t="shared" si="26"/>
        <v>505.77999999999992</v>
      </c>
      <c r="K393" s="2">
        <v>6</v>
      </c>
      <c r="L393" s="21"/>
      <c r="M393" s="14"/>
      <c r="N393" s="26"/>
      <c r="O393" s="24"/>
      <c r="P393" s="16"/>
      <c r="Q393" s="2">
        <f t="shared" si="24"/>
        <v>4</v>
      </c>
    </row>
    <row r="394" spans="1:17" x14ac:dyDescent="0.3">
      <c r="A394" s="2" t="s">
        <v>146</v>
      </c>
      <c r="B394" s="2" t="s">
        <v>85</v>
      </c>
      <c r="C394" s="2">
        <v>1</v>
      </c>
      <c r="D394" s="2">
        <v>2600</v>
      </c>
      <c r="H394" s="2">
        <f t="shared" si="25"/>
        <v>108.67999999999998</v>
      </c>
      <c r="I394" s="29">
        <v>41.8</v>
      </c>
      <c r="J394" s="8">
        <f t="shared" si="26"/>
        <v>108.67999999999998</v>
      </c>
      <c r="K394" s="2">
        <v>11</v>
      </c>
      <c r="L394" s="21"/>
      <c r="M394" s="14"/>
      <c r="N394" s="26"/>
      <c r="O394" s="24"/>
      <c r="P394" s="16"/>
      <c r="Q394" s="2">
        <f t="shared" si="24"/>
        <v>1</v>
      </c>
    </row>
    <row r="395" spans="1:17" x14ac:dyDescent="0.3">
      <c r="A395" s="2" t="s">
        <v>146</v>
      </c>
      <c r="B395" s="2" t="s">
        <v>67</v>
      </c>
      <c r="C395" s="2">
        <v>1</v>
      </c>
      <c r="D395" s="2">
        <v>7800</v>
      </c>
      <c r="H395" s="2">
        <f t="shared" si="25"/>
        <v>360.36</v>
      </c>
      <c r="I395" s="29">
        <v>46.2</v>
      </c>
      <c r="J395" s="8">
        <f t="shared" si="26"/>
        <v>360.36</v>
      </c>
      <c r="K395" s="2">
        <v>4</v>
      </c>
      <c r="L395" s="21"/>
      <c r="M395" s="14"/>
      <c r="N395" s="26"/>
      <c r="O395" s="24"/>
      <c r="P395" s="16"/>
      <c r="Q395" s="2">
        <f t="shared" si="24"/>
        <v>1</v>
      </c>
    </row>
    <row r="396" spans="1:17" x14ac:dyDescent="0.3">
      <c r="A396" s="2" t="s">
        <v>146</v>
      </c>
      <c r="B396" s="2" t="s">
        <v>67</v>
      </c>
      <c r="C396" s="2">
        <v>3</v>
      </c>
      <c r="D396" s="2">
        <v>12100</v>
      </c>
      <c r="E396" s="2" t="s">
        <v>19</v>
      </c>
      <c r="F396" s="4" t="s">
        <v>84</v>
      </c>
      <c r="H396" s="2">
        <f t="shared" si="25"/>
        <v>1677.06</v>
      </c>
      <c r="I396" s="29">
        <v>46.2</v>
      </c>
      <c r="J396" s="8">
        <f t="shared" si="26"/>
        <v>559.02</v>
      </c>
      <c r="K396" s="2">
        <v>6</v>
      </c>
      <c r="L396" s="21"/>
      <c r="M396" s="14"/>
      <c r="N396" s="26"/>
      <c r="O396" s="24"/>
      <c r="P396" s="16"/>
      <c r="Q396" s="2">
        <f t="shared" si="24"/>
        <v>3</v>
      </c>
    </row>
    <row r="397" spans="1:17" x14ac:dyDescent="0.3">
      <c r="A397" s="2" t="s">
        <v>146</v>
      </c>
      <c r="B397" s="2" t="s">
        <v>67</v>
      </c>
      <c r="C397" s="2">
        <v>1</v>
      </c>
      <c r="D397" s="2">
        <v>1300</v>
      </c>
      <c r="H397" s="2">
        <f t="shared" si="25"/>
        <v>60.060000000000009</v>
      </c>
      <c r="I397" s="29">
        <v>46.2</v>
      </c>
      <c r="J397" s="8">
        <f t="shared" si="26"/>
        <v>60.060000000000009</v>
      </c>
      <c r="K397" s="2">
        <v>8</v>
      </c>
      <c r="L397" s="21"/>
      <c r="M397" s="14"/>
      <c r="N397" s="26"/>
      <c r="O397" s="24"/>
      <c r="P397" s="16"/>
      <c r="Q397" s="2">
        <f t="shared" si="24"/>
        <v>1</v>
      </c>
    </row>
    <row r="398" spans="1:17" x14ac:dyDescent="0.3">
      <c r="A398" s="2" t="s">
        <v>146</v>
      </c>
      <c r="B398" s="2" t="s">
        <v>67</v>
      </c>
      <c r="C398" s="2">
        <v>1</v>
      </c>
      <c r="D398" s="2">
        <v>5600</v>
      </c>
      <c r="H398" s="2">
        <f t="shared" si="25"/>
        <v>258.72000000000003</v>
      </c>
      <c r="I398" s="29">
        <v>46.2</v>
      </c>
      <c r="J398" s="8">
        <f t="shared" si="26"/>
        <v>258.72000000000003</v>
      </c>
      <c r="K398" s="2">
        <v>8</v>
      </c>
      <c r="L398" s="21"/>
      <c r="M398" s="14"/>
      <c r="N398" s="26"/>
      <c r="O398" s="24"/>
      <c r="P398" s="16"/>
      <c r="Q398" s="2">
        <f t="shared" si="24"/>
        <v>1</v>
      </c>
    </row>
    <row r="399" spans="1:17" x14ac:dyDescent="0.3">
      <c r="A399" s="2" t="s">
        <v>146</v>
      </c>
      <c r="B399" s="2" t="s">
        <v>98</v>
      </c>
      <c r="C399" s="2">
        <v>3</v>
      </c>
      <c r="D399" s="2">
        <v>4800</v>
      </c>
      <c r="H399" s="2">
        <f t="shared" si="25"/>
        <v>872.64</v>
      </c>
      <c r="I399" s="29">
        <v>60.6</v>
      </c>
      <c r="J399" s="8">
        <f t="shared" si="26"/>
        <v>290.88</v>
      </c>
      <c r="K399" s="2">
        <v>8</v>
      </c>
      <c r="L399" s="21"/>
      <c r="M399" s="14"/>
      <c r="N399" s="26"/>
      <c r="O399" s="24"/>
      <c r="P399" s="16"/>
      <c r="Q399" s="2">
        <f t="shared" si="24"/>
        <v>3</v>
      </c>
    </row>
    <row r="400" spans="1:17" x14ac:dyDescent="0.3">
      <c r="A400" s="2" t="s">
        <v>146</v>
      </c>
      <c r="B400" s="2" t="s">
        <v>103</v>
      </c>
      <c r="C400" s="2">
        <v>1</v>
      </c>
      <c r="D400" s="2">
        <v>1500</v>
      </c>
      <c r="H400" s="2">
        <f t="shared" si="25"/>
        <v>107.7</v>
      </c>
      <c r="I400" s="29">
        <v>71.8</v>
      </c>
      <c r="J400" s="8">
        <f t="shared" si="26"/>
        <v>107.7</v>
      </c>
      <c r="K400" s="2">
        <v>11</v>
      </c>
      <c r="L400" s="21"/>
      <c r="M400" s="14"/>
      <c r="N400" s="26"/>
      <c r="O400" s="24"/>
      <c r="P400" s="16"/>
      <c r="Q400" s="2">
        <f t="shared" si="24"/>
        <v>1</v>
      </c>
    </row>
    <row r="401" spans="1:17" x14ac:dyDescent="0.3">
      <c r="A401" s="2" t="s">
        <v>146</v>
      </c>
      <c r="B401" s="2" t="s">
        <v>34</v>
      </c>
      <c r="C401" s="2">
        <v>5</v>
      </c>
      <c r="D401" s="2">
        <v>12100</v>
      </c>
      <c r="H401" s="2">
        <f t="shared" si="25"/>
        <v>522.72</v>
      </c>
      <c r="I401" s="29">
        <v>8.64</v>
      </c>
      <c r="J401" s="8">
        <f t="shared" si="26"/>
        <v>104.544</v>
      </c>
      <c r="K401" s="2">
        <v>1</v>
      </c>
      <c r="L401" s="21">
        <v>46150</v>
      </c>
      <c r="M401" s="14">
        <v>4</v>
      </c>
      <c r="N401" s="26"/>
      <c r="O401" s="24"/>
      <c r="P401" s="16"/>
      <c r="Q401" s="2">
        <f t="shared" si="24"/>
        <v>1</v>
      </c>
    </row>
    <row r="402" spans="1:17" x14ac:dyDescent="0.3">
      <c r="A402" s="2" t="s">
        <v>146</v>
      </c>
      <c r="B402" s="2" t="s">
        <v>34</v>
      </c>
      <c r="C402" s="2">
        <v>2</v>
      </c>
      <c r="D402" s="2">
        <v>12100</v>
      </c>
      <c r="H402" s="2">
        <f t="shared" si="25"/>
        <v>209.08799999999999</v>
      </c>
      <c r="I402" s="29">
        <v>8.64</v>
      </c>
      <c r="J402" s="8">
        <f t="shared" si="26"/>
        <v>104.544</v>
      </c>
      <c r="K402" s="2">
        <v>2</v>
      </c>
      <c r="L402" s="21"/>
      <c r="M402" s="14"/>
      <c r="N402" s="26"/>
      <c r="O402" s="24"/>
      <c r="P402" s="16"/>
      <c r="Q402" s="2">
        <f t="shared" si="24"/>
        <v>2</v>
      </c>
    </row>
    <row r="403" spans="1:17" x14ac:dyDescent="0.3">
      <c r="A403" s="2" t="s">
        <v>146</v>
      </c>
      <c r="B403" s="2" t="s">
        <v>34</v>
      </c>
      <c r="C403" s="2">
        <v>1</v>
      </c>
      <c r="D403" s="2">
        <v>12100</v>
      </c>
      <c r="H403" s="2">
        <f t="shared" si="25"/>
        <v>104.544</v>
      </c>
      <c r="I403" s="29">
        <v>8.64</v>
      </c>
      <c r="J403" s="8">
        <f t="shared" ref="J403:J408" si="27">+I403*D403/1000</f>
        <v>104.544</v>
      </c>
      <c r="K403" s="2">
        <v>4</v>
      </c>
      <c r="L403" s="21"/>
      <c r="M403" s="14"/>
      <c r="N403" s="26"/>
      <c r="O403" s="24"/>
      <c r="P403" s="16"/>
      <c r="Q403" s="2">
        <f t="shared" si="24"/>
        <v>1</v>
      </c>
    </row>
    <row r="404" spans="1:17" x14ac:dyDescent="0.3">
      <c r="A404" s="2" t="s">
        <v>146</v>
      </c>
      <c r="B404" s="2" t="s">
        <v>34</v>
      </c>
      <c r="C404" s="2">
        <v>2</v>
      </c>
      <c r="D404" s="2">
        <v>12100</v>
      </c>
      <c r="E404" s="2" t="s">
        <v>64</v>
      </c>
      <c r="H404" s="2">
        <f t="shared" si="25"/>
        <v>209.08799999999999</v>
      </c>
      <c r="I404" s="29">
        <v>8.64</v>
      </c>
      <c r="J404" s="8">
        <f t="shared" si="27"/>
        <v>104.544</v>
      </c>
      <c r="K404" s="2">
        <v>5</v>
      </c>
      <c r="L404" s="21"/>
      <c r="M404" s="14"/>
      <c r="N404" s="26"/>
      <c r="O404" s="24"/>
      <c r="P404" s="16"/>
      <c r="Q404" s="2">
        <f t="shared" si="24"/>
        <v>2</v>
      </c>
    </row>
    <row r="405" spans="1:17" x14ac:dyDescent="0.3">
      <c r="A405" s="2" t="s">
        <v>146</v>
      </c>
      <c r="B405" s="2" t="s">
        <v>28</v>
      </c>
      <c r="C405" s="2">
        <v>11</v>
      </c>
      <c r="D405" s="2">
        <v>12100</v>
      </c>
      <c r="H405" s="2">
        <f t="shared" si="25"/>
        <v>2502.2799999999997</v>
      </c>
      <c r="I405" s="29">
        <v>18.8</v>
      </c>
      <c r="J405" s="8">
        <f t="shared" si="27"/>
        <v>227.48</v>
      </c>
      <c r="K405" s="2">
        <v>1</v>
      </c>
      <c r="L405" s="21"/>
      <c r="M405" s="14"/>
      <c r="N405" s="26"/>
      <c r="O405" s="24"/>
      <c r="P405" s="16"/>
      <c r="Q405" s="2">
        <f t="shared" ref="Q405:Q467" si="28">C405-M405+P405</f>
        <v>11</v>
      </c>
    </row>
    <row r="406" spans="1:17" x14ac:dyDescent="0.3">
      <c r="A406" s="2" t="s">
        <v>146</v>
      </c>
      <c r="B406" s="2" t="s">
        <v>22</v>
      </c>
      <c r="C406" s="2">
        <v>40</v>
      </c>
      <c r="D406" s="2">
        <v>9300</v>
      </c>
      <c r="E406" s="2" t="s">
        <v>13</v>
      </c>
      <c r="F406" s="4">
        <v>630952</v>
      </c>
      <c r="G406" s="2" t="s">
        <v>17</v>
      </c>
      <c r="H406" s="2">
        <f t="shared" si="25"/>
        <v>10936.800000000001</v>
      </c>
      <c r="I406" s="29">
        <v>29.4</v>
      </c>
      <c r="J406" s="8">
        <f t="shared" si="27"/>
        <v>273.42</v>
      </c>
      <c r="K406" s="2">
        <v>1</v>
      </c>
      <c r="L406" s="21"/>
      <c r="M406" s="14"/>
      <c r="N406" s="26"/>
      <c r="O406" s="24"/>
      <c r="P406" s="16"/>
      <c r="Q406" s="2">
        <f t="shared" si="28"/>
        <v>40</v>
      </c>
    </row>
    <row r="407" spans="1:17" x14ac:dyDescent="0.3">
      <c r="A407" s="2" t="s">
        <v>145</v>
      </c>
      <c r="B407" s="2" t="s">
        <v>193</v>
      </c>
      <c r="C407" s="2">
        <v>17</v>
      </c>
      <c r="D407" s="2">
        <v>12100</v>
      </c>
      <c r="E407" s="2" t="s">
        <v>12</v>
      </c>
      <c r="F407" s="4">
        <v>72867</v>
      </c>
      <c r="G407" s="2" t="s">
        <v>179</v>
      </c>
      <c r="H407" s="2">
        <f t="shared" si="25"/>
        <v>1316.48</v>
      </c>
      <c r="I407" s="29">
        <v>6.4</v>
      </c>
      <c r="J407" s="8">
        <f t="shared" si="27"/>
        <v>77.44</v>
      </c>
      <c r="L407" s="21">
        <v>46154</v>
      </c>
      <c r="M407" s="14">
        <v>10</v>
      </c>
      <c r="N407" s="26"/>
      <c r="O407" s="24"/>
      <c r="P407" s="16"/>
      <c r="Q407" s="2">
        <f t="shared" si="28"/>
        <v>7</v>
      </c>
    </row>
    <row r="408" spans="1:17" x14ac:dyDescent="0.3">
      <c r="A408" s="2" t="s">
        <v>146</v>
      </c>
      <c r="B408" s="2" t="s">
        <v>31</v>
      </c>
      <c r="C408" s="2">
        <v>11</v>
      </c>
      <c r="D408" s="2">
        <v>7200</v>
      </c>
      <c r="E408" s="2" t="s">
        <v>12</v>
      </c>
      <c r="G408" s="2" t="s">
        <v>179</v>
      </c>
      <c r="H408" s="2">
        <f t="shared" si="25"/>
        <v>1488.96</v>
      </c>
      <c r="I408" s="29">
        <v>18.8</v>
      </c>
      <c r="J408" s="8">
        <f t="shared" si="27"/>
        <v>135.36000000000001</v>
      </c>
      <c r="L408" s="21">
        <v>46157</v>
      </c>
      <c r="M408" s="14">
        <v>1</v>
      </c>
      <c r="N408" s="26"/>
      <c r="O408" s="24"/>
      <c r="P408" s="16"/>
      <c r="Q408" s="2">
        <f t="shared" si="28"/>
        <v>10</v>
      </c>
    </row>
    <row r="409" spans="1:17" x14ac:dyDescent="0.3">
      <c r="A409" s="2" t="s">
        <v>181</v>
      </c>
      <c r="B409" s="2" t="s">
        <v>198</v>
      </c>
      <c r="C409" s="2">
        <v>14</v>
      </c>
      <c r="D409" s="2">
        <v>6000</v>
      </c>
      <c r="E409" s="2">
        <v>355</v>
      </c>
      <c r="F409" s="4">
        <v>3111881</v>
      </c>
      <c r="G409" s="2" t="s">
        <v>17</v>
      </c>
      <c r="H409" s="2">
        <f>J409*C409</f>
        <v>6924.1200000000008</v>
      </c>
      <c r="I409" s="29">
        <v>82.43</v>
      </c>
      <c r="J409" s="8">
        <f>I409*D409/1000</f>
        <v>494.58000000000004</v>
      </c>
      <c r="L409" s="21">
        <v>46156</v>
      </c>
      <c r="M409" s="14">
        <v>5</v>
      </c>
      <c r="N409" s="26"/>
      <c r="O409" s="24"/>
      <c r="P409" s="16"/>
      <c r="Q409" s="2">
        <f>C409-M409+P409</f>
        <v>9</v>
      </c>
    </row>
    <row r="410" spans="1:17" x14ac:dyDescent="0.3">
      <c r="A410" s="2" t="s">
        <v>181</v>
      </c>
      <c r="B410" s="2" t="s">
        <v>198</v>
      </c>
      <c r="C410" s="2">
        <v>13</v>
      </c>
      <c r="D410" s="2">
        <v>6000</v>
      </c>
      <c r="E410" s="2">
        <v>355</v>
      </c>
      <c r="F410" s="4">
        <v>3113253</v>
      </c>
      <c r="G410" s="2" t="s">
        <v>17</v>
      </c>
      <c r="H410" s="2">
        <f>J410*C410</f>
        <v>6429.5400000000009</v>
      </c>
      <c r="I410" s="29">
        <v>82.43</v>
      </c>
      <c r="J410" s="8">
        <f>I410*D410/1000</f>
        <v>494.58000000000004</v>
      </c>
      <c r="L410" s="21"/>
      <c r="M410" s="14"/>
      <c r="N410" s="26"/>
      <c r="O410" s="24"/>
      <c r="P410" s="16"/>
      <c r="Q410" s="2">
        <f>C410-M410+P410</f>
        <v>13</v>
      </c>
    </row>
    <row r="411" spans="1:17" x14ac:dyDescent="0.3">
      <c r="A411" s="2" t="s">
        <v>146</v>
      </c>
      <c r="B411" s="2" t="s">
        <v>31</v>
      </c>
      <c r="C411" s="2">
        <v>5</v>
      </c>
      <c r="D411" s="2">
        <v>2100</v>
      </c>
      <c r="E411" s="2" t="s">
        <v>12</v>
      </c>
      <c r="G411" s="2" t="s">
        <v>179</v>
      </c>
      <c r="H411" s="2">
        <f t="shared" ref="H411:H413" si="29">+J411*C411</f>
        <v>197.39999999999998</v>
      </c>
      <c r="I411" s="29">
        <v>18.8</v>
      </c>
      <c r="J411" s="8">
        <f t="shared" ref="J411:J413" si="30">+I411*D411/1000</f>
        <v>39.479999999999997</v>
      </c>
      <c r="L411" s="21"/>
      <c r="M411" s="14"/>
      <c r="N411" s="26" t="s">
        <v>182</v>
      </c>
      <c r="O411" s="24">
        <v>46154</v>
      </c>
      <c r="P411" s="16"/>
      <c r="Q411" s="2">
        <v>5</v>
      </c>
    </row>
    <row r="412" spans="1:17" x14ac:dyDescent="0.3">
      <c r="A412" s="2" t="s">
        <v>146</v>
      </c>
      <c r="B412" s="2" t="s">
        <v>31</v>
      </c>
      <c r="C412" s="2">
        <v>1</v>
      </c>
      <c r="D412" s="2">
        <v>5700</v>
      </c>
      <c r="E412" s="2" t="s">
        <v>12</v>
      </c>
      <c r="G412" s="2" t="s">
        <v>179</v>
      </c>
      <c r="H412" s="2">
        <f t="shared" si="29"/>
        <v>107.16</v>
      </c>
      <c r="I412" s="29">
        <v>18.8</v>
      </c>
      <c r="J412" s="8">
        <f t="shared" si="30"/>
        <v>107.16</v>
      </c>
      <c r="L412" s="21"/>
      <c r="M412" s="14"/>
      <c r="N412" s="26" t="s">
        <v>182</v>
      </c>
      <c r="O412" s="24">
        <v>46157</v>
      </c>
      <c r="P412" s="16"/>
      <c r="Q412" s="2">
        <f t="shared" ref="Q412:Q413" si="31">C412-M412+P412</f>
        <v>1</v>
      </c>
    </row>
    <row r="413" spans="1:17" x14ac:dyDescent="0.3">
      <c r="A413" s="2" t="s">
        <v>146</v>
      </c>
      <c r="B413" s="2" t="s">
        <v>9</v>
      </c>
      <c r="C413" s="2">
        <v>5</v>
      </c>
      <c r="D413" s="2">
        <v>12100</v>
      </c>
      <c r="F413" s="4" t="s">
        <v>200</v>
      </c>
      <c r="G413" s="2" t="s">
        <v>202</v>
      </c>
      <c r="H413" s="2">
        <f t="shared" si="29"/>
        <v>3648.15</v>
      </c>
      <c r="I413" s="29">
        <v>60.3</v>
      </c>
      <c r="J413" s="8">
        <f t="shared" si="30"/>
        <v>729.63</v>
      </c>
      <c r="K413" s="2">
        <v>1</v>
      </c>
      <c r="L413" s="21"/>
      <c r="M413" s="14"/>
      <c r="N413" s="26"/>
      <c r="O413" s="24"/>
      <c r="P413" s="16"/>
      <c r="Q413" s="2">
        <f t="shared" si="31"/>
        <v>5</v>
      </c>
    </row>
    <row r="414" spans="1:17" x14ac:dyDescent="0.3">
      <c r="A414" s="2" t="s">
        <v>146</v>
      </c>
      <c r="B414" s="2" t="s">
        <v>9</v>
      </c>
      <c r="C414" s="2">
        <v>5</v>
      </c>
      <c r="D414" s="2">
        <v>12100</v>
      </c>
      <c r="F414" s="4" t="s">
        <v>201</v>
      </c>
      <c r="G414" s="2" t="s">
        <v>202</v>
      </c>
      <c r="H414" s="2">
        <f t="shared" ref="H414:H416" si="32">+J414*C414</f>
        <v>3648.15</v>
      </c>
      <c r="I414" s="29">
        <v>60.3</v>
      </c>
      <c r="J414" s="8">
        <f t="shared" ref="J414:J416" si="33">+I414*D414/1000</f>
        <v>729.63</v>
      </c>
      <c r="K414" s="2">
        <v>1</v>
      </c>
      <c r="L414" s="21"/>
      <c r="M414" s="14"/>
      <c r="N414" s="26" t="s">
        <v>205</v>
      </c>
      <c r="O414" s="24">
        <v>46160</v>
      </c>
      <c r="P414" s="16"/>
      <c r="Q414" s="2">
        <f t="shared" ref="Q414:Q416" si="34">C414-M414+P414</f>
        <v>5</v>
      </c>
    </row>
    <row r="415" spans="1:17" x14ac:dyDescent="0.3">
      <c r="A415" s="2" t="s">
        <v>146</v>
      </c>
      <c r="B415" s="2" t="s">
        <v>23</v>
      </c>
      <c r="C415" s="2">
        <v>75</v>
      </c>
      <c r="D415" s="2">
        <v>7200</v>
      </c>
      <c r="F415" s="4" t="s">
        <v>204</v>
      </c>
      <c r="G415" s="2" t="s">
        <v>203</v>
      </c>
      <c r="H415" s="2">
        <f t="shared" si="32"/>
        <v>19170</v>
      </c>
      <c r="I415" s="29">
        <v>35.5</v>
      </c>
      <c r="J415" s="8">
        <f t="shared" si="33"/>
        <v>255.6</v>
      </c>
      <c r="K415" s="2">
        <v>11</v>
      </c>
      <c r="L415" s="21" t="s">
        <v>243</v>
      </c>
      <c r="M415" s="14">
        <v>59</v>
      </c>
      <c r="N415" s="26" t="s">
        <v>205</v>
      </c>
      <c r="O415" s="24">
        <v>46160</v>
      </c>
      <c r="P415" s="16"/>
      <c r="Q415" s="2">
        <f t="shared" si="34"/>
        <v>16</v>
      </c>
    </row>
    <row r="416" spans="1:17" x14ac:dyDescent="0.3">
      <c r="A416" s="2" t="s">
        <v>146</v>
      </c>
      <c r="B416" s="2" t="s">
        <v>61</v>
      </c>
      <c r="C416" s="2">
        <v>1</v>
      </c>
      <c r="D416" s="2">
        <v>12100</v>
      </c>
      <c r="E416" s="2" t="s">
        <v>19</v>
      </c>
      <c r="F416" s="4">
        <v>65277</v>
      </c>
      <c r="H416" s="2">
        <f t="shared" si="32"/>
        <v>3170.2</v>
      </c>
      <c r="I416" s="29">
        <v>262</v>
      </c>
      <c r="J416" s="8">
        <f t="shared" si="33"/>
        <v>3170.2</v>
      </c>
      <c r="K416" s="2">
        <v>13</v>
      </c>
      <c r="L416" s="21">
        <v>46161</v>
      </c>
      <c r="M416" s="14">
        <v>1</v>
      </c>
      <c r="N416" s="26"/>
      <c r="O416" s="24"/>
      <c r="P416" s="16"/>
      <c r="Q416" s="2">
        <f t="shared" si="34"/>
        <v>0</v>
      </c>
    </row>
    <row r="417" spans="1:17" x14ac:dyDescent="0.3">
      <c r="A417" s="2" t="s">
        <v>146</v>
      </c>
      <c r="B417" s="2" t="s">
        <v>61</v>
      </c>
      <c r="C417" s="2">
        <v>1</v>
      </c>
      <c r="D417" s="2">
        <v>1900</v>
      </c>
      <c r="E417" s="2" t="s">
        <v>19</v>
      </c>
      <c r="F417" s="4">
        <v>4556</v>
      </c>
      <c r="H417" s="2">
        <f t="shared" ref="H417" si="35">+J417*C417</f>
        <v>497.8</v>
      </c>
      <c r="I417" s="29">
        <v>262</v>
      </c>
      <c r="J417" s="8">
        <f t="shared" ref="J417" si="36">+I417*D417/1000</f>
        <v>497.8</v>
      </c>
      <c r="L417" s="21"/>
      <c r="M417" s="14"/>
      <c r="N417" s="26" t="s">
        <v>182</v>
      </c>
      <c r="O417" s="24">
        <v>46161</v>
      </c>
      <c r="P417" s="16"/>
      <c r="Q417" s="2">
        <f t="shared" ref="Q417" si="37">C417-M417+P417</f>
        <v>1</v>
      </c>
    </row>
    <row r="418" spans="1:17" x14ac:dyDescent="0.3">
      <c r="A418" s="2" t="s">
        <v>146</v>
      </c>
      <c r="B418" s="2" t="s">
        <v>61</v>
      </c>
      <c r="C418" s="2">
        <v>1</v>
      </c>
      <c r="D418" s="2">
        <v>2500</v>
      </c>
      <c r="E418" s="2" t="s">
        <v>19</v>
      </c>
      <c r="F418" s="4">
        <v>80369</v>
      </c>
      <c r="H418" s="2">
        <f t="shared" ref="H418" si="38">+J418*C418</f>
        <v>655</v>
      </c>
      <c r="I418" s="29">
        <v>262</v>
      </c>
      <c r="J418" s="8">
        <f t="shared" ref="J418" si="39">+I418*D418/1000</f>
        <v>655</v>
      </c>
      <c r="L418" s="21"/>
      <c r="M418" s="14"/>
      <c r="N418" s="26" t="s">
        <v>182</v>
      </c>
      <c r="O418" s="24">
        <v>46161</v>
      </c>
      <c r="P418" s="16"/>
      <c r="Q418" s="2">
        <f t="shared" ref="Q418" si="40">C418-M418+P418</f>
        <v>1</v>
      </c>
    </row>
    <row r="419" spans="1:17" x14ac:dyDescent="0.3">
      <c r="A419" s="2" t="s">
        <v>146</v>
      </c>
      <c r="B419" s="2" t="s">
        <v>61</v>
      </c>
      <c r="C419" s="2">
        <v>1</v>
      </c>
      <c r="D419" s="2">
        <v>1350</v>
      </c>
      <c r="E419" s="2" t="s">
        <v>19</v>
      </c>
      <c r="F419" s="4">
        <v>80865</v>
      </c>
      <c r="H419" s="2">
        <f t="shared" ref="H419:H420" si="41">+J419*C419</f>
        <v>353.7</v>
      </c>
      <c r="I419" s="29">
        <v>262</v>
      </c>
      <c r="J419" s="8">
        <f t="shared" ref="J419:J461" si="42">+I419*D419/1000</f>
        <v>353.7</v>
      </c>
      <c r="L419" s="21"/>
      <c r="M419" s="14"/>
      <c r="N419" s="26" t="s">
        <v>182</v>
      </c>
      <c r="O419" s="24">
        <v>46161</v>
      </c>
      <c r="P419" s="16"/>
      <c r="Q419" s="2">
        <f t="shared" ref="Q419:Q420" si="43">C419-M419+P419</f>
        <v>1</v>
      </c>
    </row>
    <row r="420" spans="1:17" x14ac:dyDescent="0.3">
      <c r="A420" s="2" t="s">
        <v>146</v>
      </c>
      <c r="B420" s="2" t="s">
        <v>61</v>
      </c>
      <c r="C420" s="2">
        <v>1</v>
      </c>
      <c r="D420" s="2">
        <v>1100</v>
      </c>
      <c r="E420" s="2" t="s">
        <v>19</v>
      </c>
      <c r="F420" s="4">
        <v>65277</v>
      </c>
      <c r="H420" s="2">
        <f t="shared" si="41"/>
        <v>288.2</v>
      </c>
      <c r="I420" s="29">
        <v>262</v>
      </c>
      <c r="J420" s="8">
        <f t="shared" si="42"/>
        <v>288.2</v>
      </c>
      <c r="L420" s="21"/>
      <c r="M420" s="14"/>
      <c r="N420" s="26" t="s">
        <v>182</v>
      </c>
      <c r="O420" s="24">
        <v>46161</v>
      </c>
      <c r="P420" s="16"/>
      <c r="Q420" s="2">
        <f t="shared" si="43"/>
        <v>1</v>
      </c>
    </row>
    <row r="421" spans="1:17" x14ac:dyDescent="0.3">
      <c r="A421" s="2" t="s">
        <v>145</v>
      </c>
      <c r="B421" s="2" t="s">
        <v>206</v>
      </c>
      <c r="C421" s="2">
        <v>15</v>
      </c>
      <c r="D421" s="2">
        <v>6000</v>
      </c>
      <c r="E421" s="2" t="s">
        <v>33</v>
      </c>
      <c r="J421" s="8">
        <f t="shared" si="42"/>
        <v>0</v>
      </c>
      <c r="L421" s="21"/>
      <c r="M421" s="14"/>
      <c r="N421" s="26"/>
      <c r="O421" s="24"/>
      <c r="P421" s="16"/>
      <c r="Q421" s="2">
        <f t="shared" si="28"/>
        <v>15</v>
      </c>
    </row>
    <row r="422" spans="1:17" x14ac:dyDescent="0.3">
      <c r="A422" s="2" t="s">
        <v>181</v>
      </c>
      <c r="B422" s="2" t="s">
        <v>207</v>
      </c>
      <c r="C422" s="2">
        <v>50</v>
      </c>
      <c r="D422" s="2">
        <v>6000</v>
      </c>
      <c r="E422" s="2" t="s">
        <v>12</v>
      </c>
      <c r="J422" s="8">
        <f t="shared" si="42"/>
        <v>0</v>
      </c>
      <c r="L422" s="21"/>
      <c r="M422" s="14"/>
      <c r="N422" s="26"/>
      <c r="O422" s="24"/>
      <c r="P422" s="16"/>
      <c r="Q422" s="2">
        <f t="shared" si="28"/>
        <v>50</v>
      </c>
    </row>
    <row r="423" spans="1:17" x14ac:dyDescent="0.3">
      <c r="A423" s="2" t="s">
        <v>208</v>
      </c>
      <c r="B423" s="2" t="s">
        <v>209</v>
      </c>
      <c r="C423" s="2">
        <v>410</v>
      </c>
      <c r="D423" s="2">
        <v>6000</v>
      </c>
      <c r="H423" s="2">
        <f>+C423*J423</f>
        <v>2184.48</v>
      </c>
      <c r="I423" s="29">
        <v>0.88800000000000001</v>
      </c>
      <c r="J423" s="8">
        <f t="shared" si="42"/>
        <v>5.3280000000000003</v>
      </c>
      <c r="L423" s="21"/>
      <c r="M423" s="14"/>
      <c r="N423" s="26"/>
      <c r="O423" s="24"/>
      <c r="P423" s="16"/>
      <c r="Q423" s="2">
        <f t="shared" si="28"/>
        <v>410</v>
      </c>
    </row>
    <row r="424" spans="1:17" x14ac:dyDescent="0.3">
      <c r="A424" s="2" t="s">
        <v>181</v>
      </c>
      <c r="B424" s="2" t="s">
        <v>210</v>
      </c>
      <c r="C424" s="2">
        <v>60</v>
      </c>
      <c r="D424" s="2">
        <v>6000</v>
      </c>
      <c r="E424" s="2" t="s">
        <v>12</v>
      </c>
      <c r="F424" s="4" t="s">
        <v>211</v>
      </c>
      <c r="J424" s="8">
        <f t="shared" si="42"/>
        <v>0</v>
      </c>
      <c r="L424" s="21"/>
      <c r="M424" s="14"/>
      <c r="N424" s="26"/>
      <c r="O424" s="24"/>
      <c r="P424" s="16"/>
      <c r="Q424" s="2">
        <f t="shared" si="28"/>
        <v>60</v>
      </c>
    </row>
    <row r="425" spans="1:17" x14ac:dyDescent="0.3">
      <c r="A425" s="2" t="s">
        <v>212</v>
      </c>
      <c r="B425" s="2" t="s">
        <v>213</v>
      </c>
      <c r="C425" s="2">
        <v>590</v>
      </c>
      <c r="D425" s="2">
        <v>6000</v>
      </c>
      <c r="E425" s="2" t="s">
        <v>12</v>
      </c>
      <c r="H425" s="2">
        <f>+C425*J425</f>
        <v>4000.2</v>
      </c>
      <c r="I425" s="29">
        <v>1.1299999999999999</v>
      </c>
      <c r="J425" s="8">
        <f t="shared" si="42"/>
        <v>6.7799999999999994</v>
      </c>
      <c r="L425" s="21"/>
      <c r="M425" s="14"/>
      <c r="N425" s="26"/>
      <c r="O425" s="24"/>
      <c r="P425" s="16"/>
      <c r="Q425" s="2">
        <f t="shared" si="28"/>
        <v>590</v>
      </c>
    </row>
    <row r="426" spans="1:17" x14ac:dyDescent="0.3">
      <c r="A426" s="2" t="s">
        <v>181</v>
      </c>
      <c r="B426" s="2" t="s">
        <v>214</v>
      </c>
      <c r="C426" s="2">
        <v>18</v>
      </c>
      <c r="D426" s="2">
        <v>6000</v>
      </c>
      <c r="E426" s="2" t="s">
        <v>12</v>
      </c>
      <c r="J426" s="8">
        <f t="shared" si="42"/>
        <v>0</v>
      </c>
      <c r="L426" s="21"/>
      <c r="M426" s="14"/>
      <c r="N426" s="26"/>
      <c r="O426" s="24"/>
      <c r="P426" s="16"/>
      <c r="Q426" s="2">
        <f t="shared" si="28"/>
        <v>18</v>
      </c>
    </row>
    <row r="427" spans="1:17" x14ac:dyDescent="0.3">
      <c r="A427" s="2" t="s">
        <v>181</v>
      </c>
      <c r="B427" s="2" t="s">
        <v>215</v>
      </c>
      <c r="C427" s="2">
        <v>65</v>
      </c>
      <c r="D427" s="2">
        <v>6000</v>
      </c>
      <c r="E427" s="2" t="s">
        <v>12</v>
      </c>
      <c r="J427" s="8">
        <f t="shared" si="42"/>
        <v>0</v>
      </c>
      <c r="L427" s="21"/>
      <c r="M427" s="14"/>
      <c r="N427" s="26"/>
      <c r="O427" s="24"/>
      <c r="P427" s="16"/>
      <c r="Q427" s="2">
        <f t="shared" si="28"/>
        <v>65</v>
      </c>
    </row>
    <row r="428" spans="1:17" x14ac:dyDescent="0.3">
      <c r="A428" s="2" t="s">
        <v>181</v>
      </c>
      <c r="B428" s="2" t="s">
        <v>216</v>
      </c>
      <c r="C428" s="2">
        <v>14</v>
      </c>
      <c r="D428" s="2">
        <v>6000</v>
      </c>
      <c r="E428" s="2" t="s">
        <v>12</v>
      </c>
      <c r="J428" s="8">
        <f t="shared" si="42"/>
        <v>0</v>
      </c>
      <c r="L428" s="21"/>
      <c r="M428" s="14"/>
      <c r="N428" s="26"/>
      <c r="O428" s="24"/>
      <c r="P428" s="16"/>
      <c r="Q428" s="2">
        <f t="shared" si="28"/>
        <v>14</v>
      </c>
    </row>
    <row r="429" spans="1:17" x14ac:dyDescent="0.3">
      <c r="A429" s="2" t="s">
        <v>181</v>
      </c>
      <c r="B429" s="2" t="s">
        <v>217</v>
      </c>
      <c r="C429" s="2">
        <v>6</v>
      </c>
      <c r="D429" s="2">
        <v>6000</v>
      </c>
      <c r="E429" s="2" t="s">
        <v>12</v>
      </c>
      <c r="J429" s="8">
        <f t="shared" si="42"/>
        <v>0</v>
      </c>
      <c r="L429" s="21"/>
      <c r="M429" s="14"/>
      <c r="N429" s="26"/>
      <c r="O429" s="24"/>
      <c r="P429" s="16"/>
      <c r="Q429" s="2">
        <f t="shared" si="28"/>
        <v>6</v>
      </c>
    </row>
    <row r="430" spans="1:17" x14ac:dyDescent="0.3">
      <c r="A430" s="2" t="s">
        <v>181</v>
      </c>
      <c r="B430" s="2" t="s">
        <v>218</v>
      </c>
      <c r="C430" s="2">
        <v>6</v>
      </c>
      <c r="D430" s="2">
        <v>6000</v>
      </c>
      <c r="E430" s="2" t="s">
        <v>12</v>
      </c>
      <c r="J430" s="8">
        <f t="shared" si="42"/>
        <v>0</v>
      </c>
      <c r="L430" s="21"/>
      <c r="M430" s="14"/>
      <c r="N430" s="26"/>
      <c r="O430" s="24"/>
      <c r="P430" s="16"/>
      <c r="Q430" s="2">
        <f t="shared" si="28"/>
        <v>6</v>
      </c>
    </row>
    <row r="431" spans="1:17" x14ac:dyDescent="0.3">
      <c r="A431" s="2" t="s">
        <v>181</v>
      </c>
      <c r="B431" s="2" t="s">
        <v>219</v>
      </c>
      <c r="C431" s="2">
        <v>6</v>
      </c>
      <c r="D431" s="2">
        <v>6000</v>
      </c>
      <c r="E431" s="2" t="s">
        <v>12</v>
      </c>
      <c r="J431" s="8">
        <f t="shared" si="42"/>
        <v>0</v>
      </c>
      <c r="L431" s="21"/>
      <c r="M431" s="14"/>
      <c r="N431" s="26"/>
      <c r="O431" s="24"/>
      <c r="P431" s="16"/>
      <c r="Q431" s="2">
        <f t="shared" si="28"/>
        <v>6</v>
      </c>
    </row>
    <row r="432" spans="1:17" x14ac:dyDescent="0.3">
      <c r="A432" s="2" t="s">
        <v>181</v>
      </c>
      <c r="B432" s="2" t="s">
        <v>220</v>
      </c>
      <c r="C432" s="2">
        <v>16</v>
      </c>
      <c r="D432" s="2">
        <v>6000</v>
      </c>
      <c r="E432" s="2" t="s">
        <v>12</v>
      </c>
      <c r="J432" s="8">
        <f t="shared" si="42"/>
        <v>0</v>
      </c>
      <c r="L432" s="21"/>
      <c r="M432" s="14"/>
      <c r="N432" s="26"/>
      <c r="O432" s="24"/>
      <c r="P432" s="16"/>
      <c r="Q432" s="2">
        <f t="shared" si="28"/>
        <v>16</v>
      </c>
    </row>
    <row r="433" spans="1:17" x14ac:dyDescent="0.3">
      <c r="A433" s="2" t="s">
        <v>181</v>
      </c>
      <c r="B433" s="2" t="s">
        <v>221</v>
      </c>
      <c r="C433" s="2">
        <v>2</v>
      </c>
      <c r="D433" s="2">
        <v>6000</v>
      </c>
      <c r="E433" s="2" t="s">
        <v>12</v>
      </c>
      <c r="J433" s="8">
        <f t="shared" si="42"/>
        <v>0</v>
      </c>
      <c r="L433" s="21"/>
      <c r="M433" s="14"/>
      <c r="N433" s="26"/>
      <c r="O433" s="24"/>
      <c r="P433" s="16"/>
      <c r="Q433" s="2">
        <f t="shared" si="28"/>
        <v>2</v>
      </c>
    </row>
    <row r="434" spans="1:17" x14ac:dyDescent="0.3">
      <c r="A434" s="2" t="s">
        <v>181</v>
      </c>
      <c r="B434" s="2" t="s">
        <v>222</v>
      </c>
      <c r="C434" s="2">
        <v>14</v>
      </c>
      <c r="D434" s="2">
        <v>6000</v>
      </c>
      <c r="E434" s="2" t="s">
        <v>12</v>
      </c>
      <c r="J434" s="8">
        <f t="shared" si="42"/>
        <v>0</v>
      </c>
      <c r="L434" s="21"/>
      <c r="M434" s="14"/>
      <c r="N434" s="26"/>
      <c r="O434" s="24"/>
      <c r="P434" s="16"/>
      <c r="Q434" s="2">
        <f t="shared" si="28"/>
        <v>14</v>
      </c>
    </row>
    <row r="435" spans="1:17" x14ac:dyDescent="0.3">
      <c r="A435" s="2" t="s">
        <v>181</v>
      </c>
      <c r="B435" s="2" t="s">
        <v>223</v>
      </c>
      <c r="C435" s="2">
        <v>6</v>
      </c>
      <c r="D435" s="2">
        <v>6000</v>
      </c>
      <c r="E435" s="2" t="s">
        <v>12</v>
      </c>
      <c r="J435" s="8">
        <f t="shared" si="42"/>
        <v>0</v>
      </c>
      <c r="L435" s="21"/>
      <c r="M435" s="14"/>
      <c r="N435" s="26"/>
      <c r="O435" s="24"/>
      <c r="P435" s="16"/>
      <c r="Q435" s="2">
        <f t="shared" si="28"/>
        <v>6</v>
      </c>
    </row>
    <row r="436" spans="1:17" x14ac:dyDescent="0.3">
      <c r="A436" s="2" t="s">
        <v>181</v>
      </c>
      <c r="B436" s="2" t="s">
        <v>224</v>
      </c>
      <c r="C436" s="2">
        <v>45</v>
      </c>
      <c r="D436" s="2">
        <v>6000</v>
      </c>
      <c r="E436" s="2" t="s">
        <v>12</v>
      </c>
      <c r="J436" s="8">
        <f t="shared" si="42"/>
        <v>0</v>
      </c>
      <c r="L436" s="21"/>
      <c r="M436" s="14"/>
      <c r="N436" s="26"/>
      <c r="O436" s="24"/>
      <c r="P436" s="16"/>
      <c r="Q436" s="2">
        <f t="shared" si="28"/>
        <v>45</v>
      </c>
    </row>
    <row r="437" spans="1:17" x14ac:dyDescent="0.3">
      <c r="A437" s="2" t="s">
        <v>181</v>
      </c>
      <c r="B437" s="2" t="s">
        <v>225</v>
      </c>
      <c r="C437" s="2">
        <v>10</v>
      </c>
      <c r="D437" s="2">
        <v>6000</v>
      </c>
      <c r="E437" s="2" t="s">
        <v>12</v>
      </c>
      <c r="J437" s="8">
        <f t="shared" si="42"/>
        <v>0</v>
      </c>
      <c r="L437" s="21"/>
      <c r="M437" s="14"/>
      <c r="N437" s="26"/>
      <c r="O437" s="24"/>
      <c r="P437" s="16"/>
      <c r="Q437" s="2">
        <f t="shared" si="28"/>
        <v>10</v>
      </c>
    </row>
    <row r="438" spans="1:17" x14ac:dyDescent="0.3">
      <c r="A438" s="2" t="s">
        <v>181</v>
      </c>
      <c r="B438" s="2" t="s">
        <v>226</v>
      </c>
      <c r="C438" s="2">
        <v>9</v>
      </c>
      <c r="D438" s="2">
        <v>6000</v>
      </c>
      <c r="E438" s="2" t="s">
        <v>12</v>
      </c>
      <c r="J438" s="8">
        <f t="shared" si="42"/>
        <v>0</v>
      </c>
      <c r="L438" s="21"/>
      <c r="M438" s="14"/>
      <c r="N438" s="26"/>
      <c r="O438" s="24"/>
      <c r="P438" s="16"/>
      <c r="Q438" s="2">
        <f t="shared" si="28"/>
        <v>9</v>
      </c>
    </row>
    <row r="439" spans="1:17" x14ac:dyDescent="0.3">
      <c r="A439" s="2" t="s">
        <v>181</v>
      </c>
      <c r="B439" s="2" t="s">
        <v>227</v>
      </c>
      <c r="C439" s="2">
        <f>+H439/J439</f>
        <v>102.76008492569002</v>
      </c>
      <c r="D439" s="2">
        <v>6000</v>
      </c>
      <c r="E439" s="2" t="s">
        <v>12</v>
      </c>
      <c r="H439" s="2">
        <v>1936</v>
      </c>
      <c r="I439" s="29">
        <v>3.14</v>
      </c>
      <c r="J439" s="8">
        <f t="shared" si="42"/>
        <v>18.84</v>
      </c>
      <c r="L439" s="21"/>
      <c r="M439" s="14"/>
      <c r="N439" s="26"/>
      <c r="O439" s="24"/>
      <c r="P439" s="16"/>
      <c r="Q439" s="2">
        <f t="shared" si="28"/>
        <v>102.76008492569002</v>
      </c>
    </row>
    <row r="440" spans="1:17" x14ac:dyDescent="0.3">
      <c r="A440" s="2" t="s">
        <v>181</v>
      </c>
      <c r="B440" s="2" t="s">
        <v>228</v>
      </c>
      <c r="C440" s="2">
        <f>+H440/J440</f>
        <v>133.59893758300134</v>
      </c>
      <c r="D440" s="2">
        <v>6000</v>
      </c>
      <c r="H440" s="2">
        <v>2012</v>
      </c>
      <c r="I440" s="29">
        <v>2.5099999999999998</v>
      </c>
      <c r="J440" s="8">
        <f t="shared" si="42"/>
        <v>15.059999999999999</v>
      </c>
      <c r="L440" s="21"/>
      <c r="M440" s="14"/>
      <c r="N440" s="26"/>
      <c r="O440" s="24"/>
      <c r="P440" s="16"/>
      <c r="Q440" s="2">
        <f t="shared" si="28"/>
        <v>133.59893758300134</v>
      </c>
    </row>
    <row r="441" spans="1:17" x14ac:dyDescent="0.3">
      <c r="A441" s="2" t="s">
        <v>181</v>
      </c>
      <c r="B441" s="2" t="s">
        <v>229</v>
      </c>
      <c r="C441" s="2">
        <v>20</v>
      </c>
      <c r="D441" s="2">
        <v>6000</v>
      </c>
      <c r="J441" s="8">
        <f t="shared" si="42"/>
        <v>0</v>
      </c>
      <c r="L441" s="21"/>
      <c r="M441" s="14"/>
      <c r="N441" s="26"/>
      <c r="O441" s="24"/>
      <c r="P441" s="16"/>
      <c r="Q441" s="2">
        <f t="shared" si="28"/>
        <v>20</v>
      </c>
    </row>
    <row r="442" spans="1:17" x14ac:dyDescent="0.3">
      <c r="A442" s="2" t="s">
        <v>181</v>
      </c>
      <c r="B442" s="2" t="s">
        <v>230</v>
      </c>
      <c r="C442" s="2">
        <v>6</v>
      </c>
      <c r="D442" s="2">
        <v>6000</v>
      </c>
      <c r="J442" s="8">
        <f t="shared" si="42"/>
        <v>0</v>
      </c>
      <c r="L442" s="21"/>
      <c r="M442" s="14"/>
      <c r="N442" s="26"/>
      <c r="O442" s="24"/>
      <c r="P442" s="16"/>
      <c r="Q442" s="2">
        <f t="shared" si="28"/>
        <v>6</v>
      </c>
    </row>
    <row r="443" spans="1:17" x14ac:dyDescent="0.3">
      <c r="A443" s="2" t="s">
        <v>208</v>
      </c>
      <c r="B443" s="2" t="s">
        <v>231</v>
      </c>
      <c r="C443" s="2">
        <f>+H443/J443</f>
        <v>333.33333333333331</v>
      </c>
      <c r="D443" s="2">
        <v>6000</v>
      </c>
      <c r="E443" s="2" t="s">
        <v>12</v>
      </c>
      <c r="F443" s="4" t="s">
        <v>234</v>
      </c>
      <c r="H443" s="2">
        <f>2470*2</f>
        <v>4940</v>
      </c>
      <c r="I443" s="29">
        <v>2.4700000000000002</v>
      </c>
      <c r="J443" s="8">
        <f t="shared" si="42"/>
        <v>14.820000000000002</v>
      </c>
      <c r="L443" s="21"/>
      <c r="M443" s="14"/>
      <c r="N443" s="26"/>
      <c r="O443" s="24"/>
      <c r="P443" s="16"/>
      <c r="Q443" s="2">
        <f t="shared" si="28"/>
        <v>333.33333333333331</v>
      </c>
    </row>
    <row r="444" spans="1:17" x14ac:dyDescent="0.3">
      <c r="A444" s="2" t="s">
        <v>208</v>
      </c>
      <c r="B444" s="2" t="s">
        <v>233</v>
      </c>
      <c r="C444" s="2">
        <f>+H444/J444</f>
        <v>119.23937360178972</v>
      </c>
      <c r="D444" s="2">
        <v>6000</v>
      </c>
      <c r="E444" s="2" t="s">
        <v>12</v>
      </c>
      <c r="F444" s="4" t="s">
        <v>235</v>
      </c>
      <c r="H444" s="2">
        <v>2132</v>
      </c>
      <c r="I444" s="29">
        <v>2.98</v>
      </c>
      <c r="J444" s="8">
        <f t="shared" si="42"/>
        <v>17.88</v>
      </c>
      <c r="L444" s="21"/>
      <c r="M444" s="14"/>
      <c r="N444" s="26"/>
      <c r="O444" s="24"/>
      <c r="P444" s="16"/>
      <c r="Q444" s="2">
        <f t="shared" si="28"/>
        <v>119.23937360178972</v>
      </c>
    </row>
    <row r="445" spans="1:17" x14ac:dyDescent="0.3">
      <c r="A445" s="2" t="s">
        <v>208</v>
      </c>
      <c r="B445" s="2" t="s">
        <v>236</v>
      </c>
      <c r="C445" s="2">
        <v>103</v>
      </c>
      <c r="D445" s="2">
        <v>6000</v>
      </c>
      <c r="E445" s="2" t="s">
        <v>12</v>
      </c>
      <c r="I445" s="29">
        <v>3.55</v>
      </c>
      <c r="J445" s="8">
        <f t="shared" si="42"/>
        <v>21.3</v>
      </c>
      <c r="L445" s="21"/>
      <c r="M445" s="14"/>
      <c r="N445" s="26"/>
      <c r="O445" s="24"/>
      <c r="P445" s="16"/>
      <c r="Q445" s="2">
        <f t="shared" si="28"/>
        <v>103</v>
      </c>
    </row>
    <row r="446" spans="1:17" x14ac:dyDescent="0.3">
      <c r="A446" s="2" t="s">
        <v>208</v>
      </c>
      <c r="B446" s="2" t="s">
        <v>237</v>
      </c>
      <c r="C446" s="2">
        <v>60</v>
      </c>
      <c r="D446" s="2">
        <v>6000</v>
      </c>
      <c r="J446" s="8">
        <f t="shared" si="42"/>
        <v>0</v>
      </c>
      <c r="L446" s="21"/>
      <c r="M446" s="14"/>
      <c r="N446" s="26"/>
      <c r="O446" s="24"/>
      <c r="P446" s="16"/>
      <c r="Q446" s="2">
        <f t="shared" si="28"/>
        <v>60</v>
      </c>
    </row>
    <row r="447" spans="1:17" x14ac:dyDescent="0.3">
      <c r="J447" s="8">
        <f t="shared" si="42"/>
        <v>0</v>
      </c>
      <c r="L447" s="21"/>
      <c r="M447" s="14"/>
      <c r="N447" s="26"/>
      <c r="O447" s="24"/>
      <c r="P447" s="16"/>
      <c r="Q447" s="2">
        <f t="shared" si="28"/>
        <v>0</v>
      </c>
    </row>
    <row r="448" spans="1:17" x14ac:dyDescent="0.3">
      <c r="J448" s="8">
        <f t="shared" si="42"/>
        <v>0</v>
      </c>
      <c r="L448" s="21"/>
      <c r="M448" s="14"/>
      <c r="N448" s="26"/>
      <c r="O448" s="24"/>
      <c r="P448" s="16"/>
      <c r="Q448" s="2">
        <f t="shared" si="28"/>
        <v>0</v>
      </c>
    </row>
    <row r="449" spans="10:17" x14ac:dyDescent="0.3">
      <c r="J449" s="8">
        <f t="shared" si="42"/>
        <v>0</v>
      </c>
      <c r="L449" s="21"/>
      <c r="M449" s="14"/>
      <c r="N449" s="26"/>
      <c r="O449" s="24"/>
      <c r="P449" s="16"/>
      <c r="Q449" s="2">
        <f t="shared" si="28"/>
        <v>0</v>
      </c>
    </row>
    <row r="450" spans="10:17" x14ac:dyDescent="0.3">
      <c r="J450" s="8">
        <f t="shared" si="42"/>
        <v>0</v>
      </c>
      <c r="L450" s="21"/>
      <c r="M450" s="14"/>
      <c r="N450" s="26"/>
      <c r="O450" s="24"/>
      <c r="P450" s="16"/>
      <c r="Q450" s="2">
        <f t="shared" si="28"/>
        <v>0</v>
      </c>
    </row>
    <row r="451" spans="10:17" x14ac:dyDescent="0.3">
      <c r="J451" s="8">
        <f t="shared" si="42"/>
        <v>0</v>
      </c>
      <c r="L451" s="21"/>
      <c r="M451" s="14"/>
      <c r="N451" s="26"/>
      <c r="O451" s="24"/>
      <c r="P451" s="16"/>
      <c r="Q451" s="2">
        <f t="shared" si="28"/>
        <v>0</v>
      </c>
    </row>
    <row r="452" spans="10:17" x14ac:dyDescent="0.3">
      <c r="J452" s="8">
        <f t="shared" si="42"/>
        <v>0</v>
      </c>
      <c r="L452" s="21"/>
      <c r="M452" s="14"/>
      <c r="N452" s="26"/>
      <c r="O452" s="24"/>
      <c r="P452" s="16"/>
      <c r="Q452" s="2">
        <f t="shared" si="28"/>
        <v>0</v>
      </c>
    </row>
    <row r="453" spans="10:17" x14ac:dyDescent="0.3">
      <c r="J453" s="8">
        <f t="shared" si="42"/>
        <v>0</v>
      </c>
      <c r="L453" s="21"/>
      <c r="M453" s="14"/>
      <c r="N453" s="26"/>
      <c r="O453" s="24"/>
      <c r="P453" s="16"/>
      <c r="Q453" s="2">
        <f t="shared" si="28"/>
        <v>0</v>
      </c>
    </row>
    <row r="454" spans="10:17" x14ac:dyDescent="0.3">
      <c r="J454" s="8">
        <f t="shared" si="42"/>
        <v>0</v>
      </c>
      <c r="L454" s="21"/>
      <c r="M454" s="14"/>
      <c r="N454" s="26"/>
      <c r="O454" s="24"/>
      <c r="P454" s="16"/>
      <c r="Q454" s="2">
        <f t="shared" si="28"/>
        <v>0</v>
      </c>
    </row>
    <row r="455" spans="10:17" x14ac:dyDescent="0.3">
      <c r="J455" s="8">
        <f t="shared" si="42"/>
        <v>0</v>
      </c>
      <c r="L455" s="21"/>
      <c r="M455" s="14"/>
      <c r="N455" s="26"/>
      <c r="O455" s="24"/>
      <c r="P455" s="16"/>
      <c r="Q455" s="2">
        <f t="shared" si="28"/>
        <v>0</v>
      </c>
    </row>
    <row r="456" spans="10:17" x14ac:dyDescent="0.3">
      <c r="J456" s="8">
        <f t="shared" si="42"/>
        <v>0</v>
      </c>
      <c r="L456" s="21"/>
      <c r="M456" s="14"/>
      <c r="N456" s="26"/>
      <c r="O456" s="24"/>
      <c r="P456" s="16"/>
      <c r="Q456" s="2">
        <f t="shared" si="28"/>
        <v>0</v>
      </c>
    </row>
    <row r="457" spans="10:17" x14ac:dyDescent="0.3">
      <c r="J457" s="8">
        <f t="shared" si="42"/>
        <v>0</v>
      </c>
      <c r="L457" s="21"/>
      <c r="M457" s="14"/>
      <c r="N457" s="26"/>
      <c r="O457" s="24"/>
      <c r="P457" s="16"/>
      <c r="Q457" s="2">
        <f t="shared" si="28"/>
        <v>0</v>
      </c>
    </row>
    <row r="458" spans="10:17" x14ac:dyDescent="0.3">
      <c r="J458" s="8">
        <f t="shared" si="42"/>
        <v>0</v>
      </c>
      <c r="L458" s="21"/>
      <c r="M458" s="14"/>
      <c r="N458" s="26"/>
      <c r="O458" s="24"/>
      <c r="P458" s="16"/>
      <c r="Q458" s="2">
        <f t="shared" si="28"/>
        <v>0</v>
      </c>
    </row>
    <row r="459" spans="10:17" x14ac:dyDescent="0.3">
      <c r="J459" s="8">
        <f t="shared" si="42"/>
        <v>0</v>
      </c>
      <c r="L459" s="21"/>
      <c r="M459" s="14"/>
      <c r="N459" s="26"/>
      <c r="O459" s="24"/>
      <c r="P459" s="16"/>
      <c r="Q459" s="2">
        <f t="shared" si="28"/>
        <v>0</v>
      </c>
    </row>
    <row r="460" spans="10:17" x14ac:dyDescent="0.3">
      <c r="J460" s="8">
        <f t="shared" si="42"/>
        <v>0</v>
      </c>
      <c r="L460" s="21"/>
      <c r="M460" s="14"/>
      <c r="N460" s="26"/>
      <c r="O460" s="24"/>
      <c r="P460" s="16"/>
      <c r="Q460" s="2">
        <f t="shared" si="28"/>
        <v>0</v>
      </c>
    </row>
    <row r="461" spans="10:17" x14ac:dyDescent="0.3">
      <c r="J461" s="8">
        <f t="shared" si="42"/>
        <v>0</v>
      </c>
      <c r="L461" s="21"/>
      <c r="M461" s="14"/>
      <c r="N461" s="26"/>
      <c r="O461" s="24"/>
      <c r="P461" s="16"/>
      <c r="Q461" s="2">
        <f t="shared" si="28"/>
        <v>0</v>
      </c>
    </row>
    <row r="462" spans="10:17" x14ac:dyDescent="0.3">
      <c r="L462" s="21"/>
      <c r="M462" s="14"/>
      <c r="N462" s="26"/>
      <c r="O462" s="24"/>
      <c r="P462" s="16"/>
      <c r="Q462" s="2">
        <f t="shared" si="28"/>
        <v>0</v>
      </c>
    </row>
    <row r="463" spans="10:17" x14ac:dyDescent="0.3">
      <c r="L463" s="21"/>
      <c r="M463" s="14"/>
      <c r="N463" s="26"/>
      <c r="O463" s="24"/>
      <c r="P463" s="16"/>
      <c r="Q463" s="2">
        <f t="shared" si="28"/>
        <v>0</v>
      </c>
    </row>
    <row r="464" spans="10:17" x14ac:dyDescent="0.3">
      <c r="L464" s="21"/>
      <c r="M464" s="14"/>
      <c r="N464" s="26"/>
      <c r="O464" s="24"/>
      <c r="P464" s="16"/>
      <c r="Q464" s="2">
        <f t="shared" si="28"/>
        <v>0</v>
      </c>
    </row>
    <row r="465" spans="12:17" x14ac:dyDescent="0.3">
      <c r="L465" s="21"/>
      <c r="M465" s="14"/>
      <c r="N465" s="26"/>
      <c r="O465" s="24"/>
      <c r="P465" s="16"/>
      <c r="Q465" s="2">
        <f t="shared" si="28"/>
        <v>0</v>
      </c>
    </row>
    <row r="466" spans="12:17" x14ac:dyDescent="0.3">
      <c r="L466" s="21"/>
      <c r="M466" s="14"/>
      <c r="N466" s="26"/>
      <c r="O466" s="24"/>
      <c r="P466" s="16"/>
      <c r="Q466" s="2">
        <f t="shared" si="28"/>
        <v>0</v>
      </c>
    </row>
    <row r="467" spans="12:17" x14ac:dyDescent="0.3">
      <c r="L467" s="21"/>
      <c r="M467" s="14"/>
      <c r="N467" s="26"/>
      <c r="O467" s="24"/>
      <c r="P467" s="16"/>
      <c r="Q467" s="2">
        <f t="shared" si="28"/>
        <v>0</v>
      </c>
    </row>
    <row r="468" spans="12:17" x14ac:dyDescent="0.3">
      <c r="L468" s="21"/>
      <c r="M468" s="14"/>
      <c r="N468" s="26"/>
      <c r="O468" s="24"/>
      <c r="P468" s="16"/>
      <c r="Q468" s="2">
        <f t="shared" ref="Q468:Q531" si="44">C468-M468+P468</f>
        <v>0</v>
      </c>
    </row>
    <row r="469" spans="12:17" x14ac:dyDescent="0.3">
      <c r="L469" s="21"/>
      <c r="M469" s="14"/>
      <c r="N469" s="26"/>
      <c r="O469" s="24"/>
      <c r="P469" s="16"/>
      <c r="Q469" s="2">
        <f t="shared" si="44"/>
        <v>0</v>
      </c>
    </row>
    <row r="470" spans="12:17" x14ac:dyDescent="0.3">
      <c r="L470" s="21"/>
      <c r="M470" s="14"/>
      <c r="N470" s="26"/>
      <c r="O470" s="24"/>
      <c r="P470" s="16"/>
      <c r="Q470" s="2">
        <f t="shared" si="44"/>
        <v>0</v>
      </c>
    </row>
    <row r="471" spans="12:17" x14ac:dyDescent="0.3">
      <c r="L471" s="21"/>
      <c r="M471" s="14"/>
      <c r="N471" s="26"/>
      <c r="O471" s="24"/>
      <c r="P471" s="16"/>
      <c r="Q471" s="2">
        <f t="shared" si="44"/>
        <v>0</v>
      </c>
    </row>
    <row r="472" spans="12:17" x14ac:dyDescent="0.3">
      <c r="L472" s="21"/>
      <c r="M472" s="14"/>
      <c r="N472" s="26"/>
      <c r="O472" s="24"/>
      <c r="P472" s="16"/>
      <c r="Q472" s="2">
        <f t="shared" si="44"/>
        <v>0</v>
      </c>
    </row>
    <row r="473" spans="12:17" x14ac:dyDescent="0.3">
      <c r="L473" s="21"/>
      <c r="M473" s="14"/>
      <c r="N473" s="26"/>
      <c r="O473" s="24"/>
      <c r="P473" s="16"/>
      <c r="Q473" s="2">
        <f t="shared" si="44"/>
        <v>0</v>
      </c>
    </row>
    <row r="474" spans="12:17" x14ac:dyDescent="0.3">
      <c r="L474" s="21"/>
      <c r="M474" s="14"/>
      <c r="N474" s="26"/>
      <c r="O474" s="24"/>
      <c r="P474" s="16"/>
      <c r="Q474" s="2">
        <f t="shared" si="44"/>
        <v>0</v>
      </c>
    </row>
    <row r="475" spans="12:17" x14ac:dyDescent="0.3">
      <c r="L475" s="21"/>
      <c r="M475" s="14"/>
      <c r="N475" s="26"/>
      <c r="O475" s="24"/>
      <c r="P475" s="16"/>
      <c r="Q475" s="2">
        <f t="shared" si="44"/>
        <v>0</v>
      </c>
    </row>
    <row r="476" spans="12:17" x14ac:dyDescent="0.3">
      <c r="L476" s="21"/>
      <c r="M476" s="14"/>
      <c r="N476" s="26"/>
      <c r="O476" s="24"/>
      <c r="P476" s="16"/>
      <c r="Q476" s="2">
        <f t="shared" si="44"/>
        <v>0</v>
      </c>
    </row>
    <row r="477" spans="12:17" x14ac:dyDescent="0.3">
      <c r="L477" s="21"/>
      <c r="M477" s="14"/>
      <c r="N477" s="26"/>
      <c r="O477" s="24"/>
      <c r="P477" s="16"/>
      <c r="Q477" s="2">
        <f t="shared" si="44"/>
        <v>0</v>
      </c>
    </row>
    <row r="478" spans="12:17" x14ac:dyDescent="0.3">
      <c r="L478" s="21"/>
      <c r="M478" s="14"/>
      <c r="N478" s="26"/>
      <c r="O478" s="24"/>
      <c r="P478" s="16"/>
      <c r="Q478" s="2">
        <f t="shared" si="44"/>
        <v>0</v>
      </c>
    </row>
    <row r="479" spans="12:17" x14ac:dyDescent="0.3">
      <c r="L479" s="21"/>
      <c r="M479" s="14"/>
      <c r="N479" s="26"/>
      <c r="O479" s="24"/>
      <c r="P479" s="16"/>
      <c r="Q479" s="2">
        <f t="shared" si="44"/>
        <v>0</v>
      </c>
    </row>
    <row r="480" spans="12:17" x14ac:dyDescent="0.3">
      <c r="L480" s="21"/>
      <c r="M480" s="14"/>
      <c r="N480" s="26"/>
      <c r="O480" s="24"/>
      <c r="P480" s="16"/>
      <c r="Q480" s="2">
        <f t="shared" si="44"/>
        <v>0</v>
      </c>
    </row>
    <row r="481" spans="12:17" x14ac:dyDescent="0.3">
      <c r="L481" s="21"/>
      <c r="M481" s="14"/>
      <c r="N481" s="26"/>
      <c r="O481" s="24"/>
      <c r="P481" s="16"/>
      <c r="Q481" s="2">
        <f t="shared" si="44"/>
        <v>0</v>
      </c>
    </row>
    <row r="482" spans="12:17" x14ac:dyDescent="0.3">
      <c r="L482" s="21"/>
      <c r="M482" s="14"/>
      <c r="N482" s="26"/>
      <c r="O482" s="24"/>
      <c r="P482" s="16"/>
      <c r="Q482" s="2">
        <f t="shared" si="44"/>
        <v>0</v>
      </c>
    </row>
    <row r="483" spans="12:17" x14ac:dyDescent="0.3">
      <c r="L483" s="21"/>
      <c r="M483" s="14"/>
      <c r="N483" s="26"/>
      <c r="O483" s="24"/>
      <c r="P483" s="16"/>
      <c r="Q483" s="2">
        <f t="shared" si="44"/>
        <v>0</v>
      </c>
    </row>
    <row r="484" spans="12:17" x14ac:dyDescent="0.3">
      <c r="L484" s="21"/>
      <c r="M484" s="14"/>
      <c r="N484" s="26"/>
      <c r="O484" s="24"/>
      <c r="P484" s="16"/>
      <c r="Q484" s="2">
        <f t="shared" si="44"/>
        <v>0</v>
      </c>
    </row>
    <row r="485" spans="12:17" x14ac:dyDescent="0.3">
      <c r="L485" s="21"/>
      <c r="M485" s="14"/>
      <c r="N485" s="26"/>
      <c r="O485" s="24"/>
      <c r="P485" s="16"/>
      <c r="Q485" s="2">
        <f t="shared" si="44"/>
        <v>0</v>
      </c>
    </row>
    <row r="486" spans="12:17" x14ac:dyDescent="0.3">
      <c r="L486" s="21"/>
      <c r="M486" s="14"/>
      <c r="N486" s="26"/>
      <c r="O486" s="24"/>
      <c r="P486" s="16"/>
      <c r="Q486" s="2">
        <f t="shared" si="44"/>
        <v>0</v>
      </c>
    </row>
    <row r="487" spans="12:17" x14ac:dyDescent="0.3">
      <c r="L487" s="21"/>
      <c r="M487" s="14"/>
      <c r="N487" s="26"/>
      <c r="O487" s="24"/>
      <c r="P487" s="16"/>
      <c r="Q487" s="2">
        <f t="shared" si="44"/>
        <v>0</v>
      </c>
    </row>
    <row r="488" spans="12:17" x14ac:dyDescent="0.3">
      <c r="L488" s="21"/>
      <c r="M488" s="14"/>
      <c r="N488" s="26"/>
      <c r="O488" s="24"/>
      <c r="P488" s="16"/>
      <c r="Q488" s="2">
        <f t="shared" si="44"/>
        <v>0</v>
      </c>
    </row>
    <row r="489" spans="12:17" x14ac:dyDescent="0.3">
      <c r="L489" s="21"/>
      <c r="M489" s="14"/>
      <c r="N489" s="26"/>
      <c r="O489" s="24"/>
      <c r="P489" s="16"/>
      <c r="Q489" s="2">
        <f t="shared" si="44"/>
        <v>0</v>
      </c>
    </row>
    <row r="490" spans="12:17" x14ac:dyDescent="0.3">
      <c r="L490" s="21"/>
      <c r="M490" s="14"/>
      <c r="N490" s="26"/>
      <c r="O490" s="24"/>
      <c r="P490" s="16"/>
      <c r="Q490" s="2">
        <f t="shared" si="44"/>
        <v>0</v>
      </c>
    </row>
    <row r="491" spans="12:17" x14ac:dyDescent="0.3">
      <c r="L491" s="21"/>
      <c r="M491" s="14"/>
      <c r="N491" s="26"/>
      <c r="O491" s="24"/>
      <c r="P491" s="16"/>
      <c r="Q491" s="2">
        <f t="shared" si="44"/>
        <v>0</v>
      </c>
    </row>
    <row r="492" spans="12:17" x14ac:dyDescent="0.3">
      <c r="L492" s="21"/>
      <c r="M492" s="14"/>
      <c r="N492" s="26"/>
      <c r="O492" s="24"/>
      <c r="P492" s="16"/>
      <c r="Q492" s="2">
        <f t="shared" si="44"/>
        <v>0</v>
      </c>
    </row>
    <row r="493" spans="12:17" x14ac:dyDescent="0.3">
      <c r="L493" s="21"/>
      <c r="M493" s="14"/>
      <c r="N493" s="26"/>
      <c r="O493" s="24"/>
      <c r="P493" s="16"/>
      <c r="Q493" s="2">
        <f t="shared" si="44"/>
        <v>0</v>
      </c>
    </row>
    <row r="494" spans="12:17" x14ac:dyDescent="0.3">
      <c r="L494" s="21"/>
      <c r="M494" s="14"/>
      <c r="N494" s="26"/>
      <c r="O494" s="24"/>
      <c r="P494" s="16"/>
      <c r="Q494" s="2">
        <f t="shared" si="44"/>
        <v>0</v>
      </c>
    </row>
    <row r="495" spans="12:17" x14ac:dyDescent="0.3">
      <c r="L495" s="21"/>
      <c r="M495" s="14"/>
      <c r="N495" s="26"/>
      <c r="O495" s="24"/>
      <c r="P495" s="16"/>
      <c r="Q495" s="2">
        <f t="shared" si="44"/>
        <v>0</v>
      </c>
    </row>
    <row r="496" spans="12:17" x14ac:dyDescent="0.3">
      <c r="L496" s="21"/>
      <c r="M496" s="14"/>
      <c r="N496" s="26"/>
      <c r="O496" s="24"/>
      <c r="P496" s="16"/>
      <c r="Q496" s="2">
        <f t="shared" si="44"/>
        <v>0</v>
      </c>
    </row>
    <row r="497" spans="12:17" x14ac:dyDescent="0.3">
      <c r="L497" s="21"/>
      <c r="M497" s="14"/>
      <c r="N497" s="26"/>
      <c r="O497" s="24"/>
      <c r="P497" s="16"/>
      <c r="Q497" s="2">
        <f t="shared" si="44"/>
        <v>0</v>
      </c>
    </row>
    <row r="498" spans="12:17" x14ac:dyDescent="0.3">
      <c r="L498" s="21"/>
      <c r="M498" s="14"/>
      <c r="N498" s="26"/>
      <c r="O498" s="24"/>
      <c r="P498" s="16"/>
      <c r="Q498" s="2">
        <f t="shared" si="44"/>
        <v>0</v>
      </c>
    </row>
    <row r="499" spans="12:17" x14ac:dyDescent="0.3">
      <c r="L499" s="21"/>
      <c r="M499" s="14"/>
      <c r="N499" s="26"/>
      <c r="O499" s="24"/>
      <c r="P499" s="16"/>
      <c r="Q499" s="2">
        <f t="shared" si="44"/>
        <v>0</v>
      </c>
    </row>
    <row r="500" spans="12:17" x14ac:dyDescent="0.3">
      <c r="L500" s="21"/>
      <c r="M500" s="14"/>
      <c r="N500" s="26"/>
      <c r="O500" s="24"/>
      <c r="P500" s="16"/>
      <c r="Q500" s="2">
        <f t="shared" si="44"/>
        <v>0</v>
      </c>
    </row>
    <row r="501" spans="12:17" x14ac:dyDescent="0.3">
      <c r="L501" s="21"/>
      <c r="M501" s="14"/>
      <c r="N501" s="26"/>
      <c r="O501" s="24"/>
      <c r="P501" s="16"/>
      <c r="Q501" s="2">
        <f t="shared" si="44"/>
        <v>0</v>
      </c>
    </row>
    <row r="502" spans="12:17" x14ac:dyDescent="0.3">
      <c r="L502" s="21"/>
      <c r="M502" s="14"/>
      <c r="N502" s="26"/>
      <c r="O502" s="24"/>
      <c r="P502" s="16"/>
      <c r="Q502" s="2">
        <f t="shared" si="44"/>
        <v>0</v>
      </c>
    </row>
    <row r="503" spans="12:17" x14ac:dyDescent="0.3">
      <c r="L503" s="21"/>
      <c r="M503" s="14"/>
      <c r="N503" s="26"/>
      <c r="O503" s="24"/>
      <c r="P503" s="16"/>
      <c r="Q503" s="2">
        <f t="shared" si="44"/>
        <v>0</v>
      </c>
    </row>
    <row r="504" spans="12:17" x14ac:dyDescent="0.3">
      <c r="L504" s="21"/>
      <c r="M504" s="14"/>
      <c r="N504" s="26"/>
      <c r="O504" s="24"/>
      <c r="P504" s="16"/>
      <c r="Q504" s="2">
        <f t="shared" si="44"/>
        <v>0</v>
      </c>
    </row>
    <row r="505" spans="12:17" x14ac:dyDescent="0.3">
      <c r="L505" s="21"/>
      <c r="M505" s="14"/>
      <c r="N505" s="26"/>
      <c r="O505" s="24"/>
      <c r="P505" s="16"/>
      <c r="Q505" s="2">
        <f t="shared" si="44"/>
        <v>0</v>
      </c>
    </row>
    <row r="506" spans="12:17" x14ac:dyDescent="0.3">
      <c r="L506" s="21"/>
      <c r="M506" s="14"/>
      <c r="N506" s="26"/>
      <c r="O506" s="24"/>
      <c r="P506" s="16"/>
      <c r="Q506" s="2">
        <f t="shared" si="44"/>
        <v>0</v>
      </c>
    </row>
    <row r="507" spans="12:17" x14ac:dyDescent="0.3">
      <c r="L507" s="21"/>
      <c r="M507" s="14"/>
      <c r="N507" s="26"/>
      <c r="O507" s="24"/>
      <c r="P507" s="16"/>
      <c r="Q507" s="2">
        <f t="shared" si="44"/>
        <v>0</v>
      </c>
    </row>
    <row r="508" spans="12:17" x14ac:dyDescent="0.3">
      <c r="L508" s="21"/>
      <c r="M508" s="14"/>
      <c r="N508" s="26"/>
      <c r="O508" s="24"/>
      <c r="P508" s="16"/>
      <c r="Q508" s="2">
        <f t="shared" si="44"/>
        <v>0</v>
      </c>
    </row>
    <row r="509" spans="12:17" x14ac:dyDescent="0.3">
      <c r="L509" s="21"/>
      <c r="M509" s="14"/>
      <c r="N509" s="26"/>
      <c r="O509" s="24"/>
      <c r="P509" s="16"/>
      <c r="Q509" s="2">
        <f t="shared" si="44"/>
        <v>0</v>
      </c>
    </row>
    <row r="510" spans="12:17" x14ac:dyDescent="0.3">
      <c r="L510" s="21"/>
      <c r="M510" s="14"/>
      <c r="N510" s="26"/>
      <c r="O510" s="24"/>
      <c r="P510" s="16"/>
      <c r="Q510" s="2">
        <f t="shared" si="44"/>
        <v>0</v>
      </c>
    </row>
    <row r="511" spans="12:17" x14ac:dyDescent="0.3">
      <c r="L511" s="21"/>
      <c r="M511" s="14"/>
      <c r="N511" s="26"/>
      <c r="O511" s="24"/>
      <c r="P511" s="16"/>
      <c r="Q511" s="2">
        <f t="shared" si="44"/>
        <v>0</v>
      </c>
    </row>
    <row r="512" spans="12:17" x14ac:dyDescent="0.3">
      <c r="L512" s="21"/>
      <c r="M512" s="14"/>
      <c r="N512" s="26"/>
      <c r="O512" s="24"/>
      <c r="P512" s="16"/>
      <c r="Q512" s="2">
        <f t="shared" si="44"/>
        <v>0</v>
      </c>
    </row>
    <row r="513" spans="12:17" x14ac:dyDescent="0.3">
      <c r="L513" s="21"/>
      <c r="M513" s="14"/>
      <c r="N513" s="26"/>
      <c r="O513" s="24"/>
      <c r="P513" s="16"/>
      <c r="Q513" s="2">
        <f t="shared" si="44"/>
        <v>0</v>
      </c>
    </row>
    <row r="514" spans="12:17" x14ac:dyDescent="0.3">
      <c r="L514" s="21"/>
      <c r="M514" s="14"/>
      <c r="N514" s="26"/>
      <c r="O514" s="24"/>
      <c r="P514" s="16"/>
      <c r="Q514" s="2">
        <f t="shared" si="44"/>
        <v>0</v>
      </c>
    </row>
    <row r="515" spans="12:17" x14ac:dyDescent="0.3">
      <c r="L515" s="21"/>
      <c r="M515" s="14"/>
      <c r="N515" s="26"/>
      <c r="O515" s="24"/>
      <c r="P515" s="16"/>
      <c r="Q515" s="2">
        <f t="shared" si="44"/>
        <v>0</v>
      </c>
    </row>
    <row r="516" spans="12:17" x14ac:dyDescent="0.3">
      <c r="L516" s="21"/>
      <c r="M516" s="14"/>
      <c r="N516" s="26"/>
      <c r="O516" s="24"/>
      <c r="P516" s="16"/>
      <c r="Q516" s="2">
        <f t="shared" si="44"/>
        <v>0</v>
      </c>
    </row>
    <row r="517" spans="12:17" x14ac:dyDescent="0.3">
      <c r="L517" s="21"/>
      <c r="M517" s="14"/>
      <c r="N517" s="26"/>
      <c r="O517" s="24"/>
      <c r="P517" s="16"/>
      <c r="Q517" s="2">
        <f t="shared" si="44"/>
        <v>0</v>
      </c>
    </row>
    <row r="518" spans="12:17" x14ac:dyDescent="0.3">
      <c r="L518" s="21"/>
      <c r="M518" s="14"/>
      <c r="N518" s="26"/>
      <c r="O518" s="24"/>
      <c r="P518" s="16"/>
      <c r="Q518" s="2">
        <f t="shared" si="44"/>
        <v>0</v>
      </c>
    </row>
    <row r="519" spans="12:17" x14ac:dyDescent="0.3">
      <c r="L519" s="21"/>
      <c r="M519" s="14"/>
      <c r="N519" s="26"/>
      <c r="O519" s="24"/>
      <c r="P519" s="16"/>
      <c r="Q519" s="2">
        <f t="shared" si="44"/>
        <v>0</v>
      </c>
    </row>
    <row r="520" spans="12:17" x14ac:dyDescent="0.3">
      <c r="L520" s="21"/>
      <c r="M520" s="14"/>
      <c r="N520" s="26"/>
      <c r="O520" s="24"/>
      <c r="P520" s="16"/>
      <c r="Q520" s="2">
        <f t="shared" si="44"/>
        <v>0</v>
      </c>
    </row>
    <row r="521" spans="12:17" x14ac:dyDescent="0.3">
      <c r="L521" s="21"/>
      <c r="M521" s="14"/>
      <c r="N521" s="26"/>
      <c r="O521" s="24"/>
      <c r="P521" s="16"/>
      <c r="Q521" s="2">
        <f t="shared" si="44"/>
        <v>0</v>
      </c>
    </row>
    <row r="522" spans="12:17" x14ac:dyDescent="0.3">
      <c r="L522" s="21"/>
      <c r="M522" s="14"/>
      <c r="N522" s="26"/>
      <c r="O522" s="24"/>
      <c r="P522" s="16"/>
      <c r="Q522" s="2">
        <f t="shared" si="44"/>
        <v>0</v>
      </c>
    </row>
    <row r="523" spans="12:17" x14ac:dyDescent="0.3">
      <c r="L523" s="21"/>
      <c r="M523" s="14"/>
      <c r="N523" s="26"/>
      <c r="O523" s="24"/>
      <c r="P523" s="16"/>
      <c r="Q523" s="2">
        <f t="shared" si="44"/>
        <v>0</v>
      </c>
    </row>
    <row r="524" spans="12:17" x14ac:dyDescent="0.3">
      <c r="L524" s="21"/>
      <c r="M524" s="14"/>
      <c r="N524" s="26"/>
      <c r="O524" s="24"/>
      <c r="P524" s="16"/>
      <c r="Q524" s="2">
        <f t="shared" si="44"/>
        <v>0</v>
      </c>
    </row>
    <row r="525" spans="12:17" x14ac:dyDescent="0.3">
      <c r="L525" s="21"/>
      <c r="M525" s="14"/>
      <c r="N525" s="26"/>
      <c r="O525" s="24"/>
      <c r="P525" s="16"/>
      <c r="Q525" s="2">
        <f t="shared" si="44"/>
        <v>0</v>
      </c>
    </row>
    <row r="526" spans="12:17" x14ac:dyDescent="0.3">
      <c r="L526" s="21"/>
      <c r="M526" s="14"/>
      <c r="N526" s="26"/>
      <c r="O526" s="24"/>
      <c r="P526" s="16"/>
      <c r="Q526" s="2">
        <f t="shared" si="44"/>
        <v>0</v>
      </c>
    </row>
    <row r="527" spans="12:17" x14ac:dyDescent="0.3">
      <c r="L527" s="21"/>
      <c r="M527" s="14"/>
      <c r="N527" s="26"/>
      <c r="O527" s="24"/>
      <c r="P527" s="16"/>
      <c r="Q527" s="2">
        <f t="shared" si="44"/>
        <v>0</v>
      </c>
    </row>
    <row r="528" spans="12:17" x14ac:dyDescent="0.3">
      <c r="L528" s="21"/>
      <c r="M528" s="14"/>
      <c r="N528" s="26"/>
      <c r="O528" s="24"/>
      <c r="P528" s="16"/>
      <c r="Q528" s="2">
        <f t="shared" si="44"/>
        <v>0</v>
      </c>
    </row>
    <row r="529" spans="12:17" x14ac:dyDescent="0.3">
      <c r="L529" s="21"/>
      <c r="M529" s="14"/>
      <c r="N529" s="26"/>
      <c r="O529" s="24"/>
      <c r="P529" s="16"/>
      <c r="Q529" s="2">
        <f t="shared" si="44"/>
        <v>0</v>
      </c>
    </row>
    <row r="530" spans="12:17" x14ac:dyDescent="0.3">
      <c r="L530" s="21"/>
      <c r="M530" s="14"/>
      <c r="N530" s="26"/>
      <c r="O530" s="24"/>
      <c r="P530" s="16"/>
      <c r="Q530" s="2">
        <f t="shared" si="44"/>
        <v>0</v>
      </c>
    </row>
    <row r="531" spans="12:17" x14ac:dyDescent="0.3">
      <c r="L531" s="21"/>
      <c r="M531" s="14"/>
      <c r="N531" s="26"/>
      <c r="O531" s="24"/>
      <c r="P531" s="16"/>
      <c r="Q531" s="2">
        <f t="shared" si="44"/>
        <v>0</v>
      </c>
    </row>
    <row r="532" spans="12:17" x14ac:dyDescent="0.3">
      <c r="L532" s="21"/>
      <c r="M532" s="14"/>
      <c r="N532" s="26"/>
      <c r="O532" s="24"/>
      <c r="P532" s="16"/>
      <c r="Q532" s="2">
        <f t="shared" ref="Q532:Q595" si="45">C532-M532+P532</f>
        <v>0</v>
      </c>
    </row>
    <row r="533" spans="12:17" x14ac:dyDescent="0.3">
      <c r="L533" s="21"/>
      <c r="M533" s="14"/>
      <c r="N533" s="26"/>
      <c r="O533" s="24"/>
      <c r="P533" s="16"/>
      <c r="Q533" s="2">
        <f t="shared" si="45"/>
        <v>0</v>
      </c>
    </row>
    <row r="534" spans="12:17" x14ac:dyDescent="0.3">
      <c r="L534" s="21"/>
      <c r="M534" s="14"/>
      <c r="N534" s="26"/>
      <c r="O534" s="24"/>
      <c r="P534" s="16"/>
      <c r="Q534" s="2">
        <f t="shared" si="45"/>
        <v>0</v>
      </c>
    </row>
    <row r="535" spans="12:17" x14ac:dyDescent="0.3">
      <c r="L535" s="21"/>
      <c r="M535" s="14"/>
      <c r="N535" s="26"/>
      <c r="O535" s="24"/>
      <c r="P535" s="16"/>
      <c r="Q535" s="2">
        <f t="shared" si="45"/>
        <v>0</v>
      </c>
    </row>
    <row r="536" spans="12:17" x14ac:dyDescent="0.3">
      <c r="L536" s="21"/>
      <c r="M536" s="14"/>
      <c r="N536" s="26"/>
      <c r="O536" s="24"/>
      <c r="P536" s="16"/>
      <c r="Q536" s="2">
        <f t="shared" si="45"/>
        <v>0</v>
      </c>
    </row>
    <row r="537" spans="12:17" x14ac:dyDescent="0.3">
      <c r="L537" s="21"/>
      <c r="M537" s="14"/>
      <c r="N537" s="26"/>
      <c r="O537" s="24"/>
      <c r="P537" s="16"/>
      <c r="Q537" s="2">
        <f t="shared" si="45"/>
        <v>0</v>
      </c>
    </row>
    <row r="538" spans="12:17" x14ac:dyDescent="0.3">
      <c r="L538" s="21"/>
      <c r="M538" s="14"/>
      <c r="N538" s="26"/>
      <c r="O538" s="24"/>
      <c r="P538" s="16"/>
      <c r="Q538" s="2">
        <f t="shared" si="45"/>
        <v>0</v>
      </c>
    </row>
    <row r="539" spans="12:17" x14ac:dyDescent="0.3">
      <c r="L539" s="21"/>
      <c r="M539" s="14"/>
      <c r="N539" s="26"/>
      <c r="O539" s="24"/>
      <c r="P539" s="16"/>
      <c r="Q539" s="2">
        <f t="shared" si="45"/>
        <v>0</v>
      </c>
    </row>
    <row r="540" spans="12:17" x14ac:dyDescent="0.3">
      <c r="L540" s="21"/>
      <c r="M540" s="14"/>
      <c r="N540" s="26"/>
      <c r="O540" s="24"/>
      <c r="P540" s="16"/>
      <c r="Q540" s="2">
        <f t="shared" si="45"/>
        <v>0</v>
      </c>
    </row>
    <row r="541" spans="12:17" x14ac:dyDescent="0.3">
      <c r="L541" s="21"/>
      <c r="M541" s="14"/>
      <c r="N541" s="26"/>
      <c r="O541" s="24"/>
      <c r="P541" s="16"/>
      <c r="Q541" s="2">
        <f t="shared" si="45"/>
        <v>0</v>
      </c>
    </row>
    <row r="542" spans="12:17" x14ac:dyDescent="0.3">
      <c r="L542" s="21"/>
      <c r="M542" s="14"/>
      <c r="N542" s="26"/>
      <c r="O542" s="24"/>
      <c r="P542" s="16"/>
      <c r="Q542" s="2">
        <f t="shared" si="45"/>
        <v>0</v>
      </c>
    </row>
    <row r="543" spans="12:17" x14ac:dyDescent="0.3">
      <c r="L543" s="21"/>
      <c r="M543" s="14"/>
      <c r="N543" s="26"/>
      <c r="O543" s="24"/>
      <c r="P543" s="16"/>
      <c r="Q543" s="2">
        <f t="shared" si="45"/>
        <v>0</v>
      </c>
    </row>
    <row r="544" spans="12:17" x14ac:dyDescent="0.3">
      <c r="L544" s="21"/>
      <c r="M544" s="14"/>
      <c r="N544" s="26"/>
      <c r="O544" s="24"/>
      <c r="P544" s="16"/>
      <c r="Q544" s="2">
        <f t="shared" si="45"/>
        <v>0</v>
      </c>
    </row>
    <row r="545" spans="12:17" x14ac:dyDescent="0.3">
      <c r="L545" s="21"/>
      <c r="M545" s="14"/>
      <c r="N545" s="26"/>
      <c r="O545" s="24"/>
      <c r="P545" s="16"/>
      <c r="Q545" s="2">
        <f t="shared" si="45"/>
        <v>0</v>
      </c>
    </row>
    <row r="546" spans="12:17" x14ac:dyDescent="0.3">
      <c r="L546" s="21"/>
      <c r="M546" s="14"/>
      <c r="N546" s="26"/>
      <c r="O546" s="24"/>
      <c r="P546" s="16"/>
      <c r="Q546" s="2">
        <f t="shared" si="45"/>
        <v>0</v>
      </c>
    </row>
    <row r="547" spans="12:17" x14ac:dyDescent="0.3">
      <c r="L547" s="21"/>
      <c r="M547" s="14"/>
      <c r="N547" s="26"/>
      <c r="O547" s="24"/>
      <c r="P547" s="16"/>
      <c r="Q547" s="2">
        <f t="shared" si="45"/>
        <v>0</v>
      </c>
    </row>
    <row r="548" spans="12:17" x14ac:dyDescent="0.3">
      <c r="L548" s="21"/>
      <c r="M548" s="14"/>
      <c r="N548" s="26"/>
      <c r="O548" s="24"/>
      <c r="P548" s="16"/>
      <c r="Q548" s="2">
        <f t="shared" si="45"/>
        <v>0</v>
      </c>
    </row>
    <row r="549" spans="12:17" x14ac:dyDescent="0.3">
      <c r="L549" s="21"/>
      <c r="M549" s="14"/>
      <c r="N549" s="26"/>
      <c r="O549" s="24"/>
      <c r="P549" s="16"/>
      <c r="Q549" s="2">
        <f t="shared" si="45"/>
        <v>0</v>
      </c>
    </row>
    <row r="550" spans="12:17" x14ac:dyDescent="0.3">
      <c r="L550" s="21"/>
      <c r="M550" s="14"/>
      <c r="N550" s="26"/>
      <c r="O550" s="24"/>
      <c r="P550" s="16"/>
      <c r="Q550" s="2">
        <f t="shared" si="45"/>
        <v>0</v>
      </c>
    </row>
    <row r="551" spans="12:17" x14ac:dyDescent="0.3">
      <c r="L551" s="21"/>
      <c r="M551" s="14"/>
      <c r="N551" s="26"/>
      <c r="O551" s="24"/>
      <c r="P551" s="16"/>
      <c r="Q551" s="2">
        <f t="shared" si="45"/>
        <v>0</v>
      </c>
    </row>
    <row r="552" spans="12:17" x14ac:dyDescent="0.3">
      <c r="L552" s="21"/>
      <c r="M552" s="14"/>
      <c r="N552" s="26"/>
      <c r="O552" s="24"/>
      <c r="P552" s="16"/>
      <c r="Q552" s="2">
        <f t="shared" si="45"/>
        <v>0</v>
      </c>
    </row>
    <row r="553" spans="12:17" x14ac:dyDescent="0.3">
      <c r="L553" s="21"/>
      <c r="M553" s="14"/>
      <c r="N553" s="26"/>
      <c r="O553" s="24"/>
      <c r="P553" s="16"/>
      <c r="Q553" s="2">
        <f t="shared" si="45"/>
        <v>0</v>
      </c>
    </row>
    <row r="554" spans="12:17" x14ac:dyDescent="0.3">
      <c r="L554" s="21"/>
      <c r="M554" s="14"/>
      <c r="N554" s="26"/>
      <c r="O554" s="24"/>
      <c r="P554" s="16"/>
      <c r="Q554" s="2">
        <f t="shared" si="45"/>
        <v>0</v>
      </c>
    </row>
    <row r="555" spans="12:17" x14ac:dyDescent="0.3">
      <c r="L555" s="21"/>
      <c r="M555" s="14"/>
      <c r="N555" s="26"/>
      <c r="O555" s="24"/>
      <c r="P555" s="16"/>
      <c r="Q555" s="2">
        <f t="shared" si="45"/>
        <v>0</v>
      </c>
    </row>
    <row r="556" spans="12:17" x14ac:dyDescent="0.3">
      <c r="L556" s="21"/>
      <c r="M556" s="14"/>
      <c r="N556" s="26"/>
      <c r="O556" s="24"/>
      <c r="P556" s="16"/>
      <c r="Q556" s="2">
        <f t="shared" si="45"/>
        <v>0</v>
      </c>
    </row>
    <row r="557" spans="12:17" x14ac:dyDescent="0.3">
      <c r="L557" s="21"/>
      <c r="M557" s="14"/>
      <c r="N557" s="26"/>
      <c r="O557" s="24"/>
      <c r="P557" s="16"/>
      <c r="Q557" s="2">
        <f t="shared" si="45"/>
        <v>0</v>
      </c>
    </row>
    <row r="558" spans="12:17" x14ac:dyDescent="0.3">
      <c r="L558" s="21"/>
      <c r="M558" s="14"/>
      <c r="N558" s="26"/>
      <c r="O558" s="24"/>
      <c r="P558" s="16"/>
      <c r="Q558" s="2">
        <f t="shared" si="45"/>
        <v>0</v>
      </c>
    </row>
    <row r="559" spans="12:17" x14ac:dyDescent="0.3">
      <c r="L559" s="21"/>
      <c r="M559" s="14"/>
      <c r="N559" s="26"/>
      <c r="O559" s="24"/>
      <c r="P559" s="16"/>
      <c r="Q559" s="2">
        <f t="shared" si="45"/>
        <v>0</v>
      </c>
    </row>
    <row r="560" spans="12:17" x14ac:dyDescent="0.3">
      <c r="L560" s="21"/>
      <c r="M560" s="14"/>
      <c r="N560" s="26"/>
      <c r="O560" s="24"/>
      <c r="P560" s="16"/>
      <c r="Q560" s="2">
        <f t="shared" si="45"/>
        <v>0</v>
      </c>
    </row>
    <row r="561" spans="12:17" x14ac:dyDescent="0.3">
      <c r="L561" s="21"/>
      <c r="M561" s="14"/>
      <c r="N561" s="26"/>
      <c r="O561" s="24"/>
      <c r="P561" s="16"/>
      <c r="Q561" s="2">
        <f t="shared" si="45"/>
        <v>0</v>
      </c>
    </row>
    <row r="562" spans="12:17" x14ac:dyDescent="0.3">
      <c r="L562" s="21"/>
      <c r="M562" s="14"/>
      <c r="N562" s="26"/>
      <c r="O562" s="24"/>
      <c r="P562" s="16"/>
      <c r="Q562" s="2">
        <f t="shared" si="45"/>
        <v>0</v>
      </c>
    </row>
    <row r="563" spans="12:17" x14ac:dyDescent="0.3">
      <c r="L563" s="21"/>
      <c r="M563" s="14"/>
      <c r="N563" s="26"/>
      <c r="O563" s="24"/>
      <c r="P563" s="16"/>
      <c r="Q563" s="2">
        <f t="shared" si="45"/>
        <v>0</v>
      </c>
    </row>
    <row r="564" spans="12:17" x14ac:dyDescent="0.3">
      <c r="L564" s="21"/>
      <c r="M564" s="14"/>
      <c r="N564" s="26"/>
      <c r="O564" s="24"/>
      <c r="P564" s="16"/>
      <c r="Q564" s="2">
        <f t="shared" si="45"/>
        <v>0</v>
      </c>
    </row>
    <row r="565" spans="12:17" x14ac:dyDescent="0.3">
      <c r="L565" s="21"/>
      <c r="M565" s="14"/>
      <c r="N565" s="26"/>
      <c r="O565" s="24"/>
      <c r="P565" s="16"/>
      <c r="Q565" s="2">
        <f t="shared" si="45"/>
        <v>0</v>
      </c>
    </row>
    <row r="566" spans="12:17" x14ac:dyDescent="0.3">
      <c r="L566" s="21"/>
      <c r="M566" s="14"/>
      <c r="N566" s="26"/>
      <c r="O566" s="24"/>
      <c r="P566" s="16"/>
      <c r="Q566" s="2">
        <f t="shared" si="45"/>
        <v>0</v>
      </c>
    </row>
    <row r="567" spans="12:17" x14ac:dyDescent="0.3">
      <c r="L567" s="21"/>
      <c r="M567" s="14"/>
      <c r="N567" s="26"/>
      <c r="O567" s="24"/>
      <c r="P567" s="16"/>
      <c r="Q567" s="2">
        <f t="shared" si="45"/>
        <v>0</v>
      </c>
    </row>
    <row r="568" spans="12:17" x14ac:dyDescent="0.3">
      <c r="L568" s="21"/>
      <c r="M568" s="14"/>
      <c r="N568" s="26"/>
      <c r="O568" s="24"/>
      <c r="P568" s="16"/>
      <c r="Q568" s="2">
        <f t="shared" si="45"/>
        <v>0</v>
      </c>
    </row>
    <row r="569" spans="12:17" x14ac:dyDescent="0.3">
      <c r="L569" s="21"/>
      <c r="M569" s="14"/>
      <c r="N569" s="26"/>
      <c r="O569" s="24"/>
      <c r="P569" s="16"/>
      <c r="Q569" s="2">
        <f t="shared" si="45"/>
        <v>0</v>
      </c>
    </row>
    <row r="570" spans="12:17" x14ac:dyDescent="0.3">
      <c r="L570" s="21"/>
      <c r="M570" s="14"/>
      <c r="N570" s="26"/>
      <c r="O570" s="24"/>
      <c r="P570" s="16"/>
      <c r="Q570" s="2">
        <f t="shared" si="45"/>
        <v>0</v>
      </c>
    </row>
    <row r="571" spans="12:17" x14ac:dyDescent="0.3">
      <c r="L571" s="21"/>
      <c r="M571" s="14"/>
      <c r="N571" s="26"/>
      <c r="O571" s="24"/>
      <c r="P571" s="16"/>
      <c r="Q571" s="2">
        <f t="shared" si="45"/>
        <v>0</v>
      </c>
    </row>
    <row r="572" spans="12:17" x14ac:dyDescent="0.3">
      <c r="L572" s="21"/>
      <c r="M572" s="14"/>
      <c r="N572" s="26"/>
      <c r="O572" s="24"/>
      <c r="P572" s="16"/>
      <c r="Q572" s="2">
        <f t="shared" si="45"/>
        <v>0</v>
      </c>
    </row>
    <row r="573" spans="12:17" x14ac:dyDescent="0.3">
      <c r="L573" s="21"/>
      <c r="M573" s="14"/>
      <c r="N573" s="26"/>
      <c r="O573" s="24"/>
      <c r="P573" s="16"/>
      <c r="Q573" s="2">
        <f t="shared" si="45"/>
        <v>0</v>
      </c>
    </row>
    <row r="574" spans="12:17" x14ac:dyDescent="0.3">
      <c r="L574" s="21"/>
      <c r="M574" s="14"/>
      <c r="N574" s="26"/>
      <c r="O574" s="24"/>
      <c r="P574" s="16"/>
      <c r="Q574" s="2">
        <f t="shared" si="45"/>
        <v>0</v>
      </c>
    </row>
    <row r="575" spans="12:17" x14ac:dyDescent="0.3">
      <c r="L575" s="21"/>
      <c r="M575" s="14"/>
      <c r="N575" s="26"/>
      <c r="O575" s="24"/>
      <c r="P575" s="16"/>
      <c r="Q575" s="2">
        <f t="shared" si="45"/>
        <v>0</v>
      </c>
    </row>
    <row r="576" spans="12:17" x14ac:dyDescent="0.3">
      <c r="L576" s="21"/>
      <c r="M576" s="14"/>
      <c r="N576" s="26"/>
      <c r="O576" s="24"/>
      <c r="P576" s="16"/>
      <c r="Q576" s="2">
        <f t="shared" si="45"/>
        <v>0</v>
      </c>
    </row>
    <row r="577" spans="12:17" x14ac:dyDescent="0.3">
      <c r="L577" s="21"/>
      <c r="M577" s="14"/>
      <c r="N577" s="26"/>
      <c r="O577" s="24"/>
      <c r="P577" s="16"/>
      <c r="Q577" s="2">
        <f t="shared" si="45"/>
        <v>0</v>
      </c>
    </row>
    <row r="578" spans="12:17" x14ac:dyDescent="0.3">
      <c r="L578" s="21"/>
      <c r="M578" s="14"/>
      <c r="N578" s="26"/>
      <c r="O578" s="24"/>
      <c r="P578" s="16"/>
      <c r="Q578" s="2">
        <f t="shared" si="45"/>
        <v>0</v>
      </c>
    </row>
    <row r="579" spans="12:17" x14ac:dyDescent="0.3">
      <c r="L579" s="21"/>
      <c r="M579" s="14"/>
      <c r="N579" s="26"/>
      <c r="O579" s="24"/>
      <c r="P579" s="16"/>
      <c r="Q579" s="2">
        <f t="shared" si="45"/>
        <v>0</v>
      </c>
    </row>
    <row r="580" spans="12:17" x14ac:dyDescent="0.3">
      <c r="L580" s="21"/>
      <c r="M580" s="14"/>
      <c r="N580" s="26"/>
      <c r="O580" s="24"/>
      <c r="P580" s="16"/>
      <c r="Q580" s="2">
        <f t="shared" si="45"/>
        <v>0</v>
      </c>
    </row>
    <row r="581" spans="12:17" x14ac:dyDescent="0.3">
      <c r="L581" s="21"/>
      <c r="M581" s="14"/>
      <c r="N581" s="26"/>
      <c r="O581" s="24"/>
      <c r="P581" s="16"/>
      <c r="Q581" s="2">
        <f t="shared" si="45"/>
        <v>0</v>
      </c>
    </row>
    <row r="582" spans="12:17" x14ac:dyDescent="0.3">
      <c r="L582" s="21"/>
      <c r="M582" s="14"/>
      <c r="N582" s="26"/>
      <c r="O582" s="24"/>
      <c r="P582" s="16"/>
      <c r="Q582" s="2">
        <f t="shared" si="45"/>
        <v>0</v>
      </c>
    </row>
    <row r="583" spans="12:17" x14ac:dyDescent="0.3">
      <c r="L583" s="21"/>
      <c r="M583" s="14"/>
      <c r="N583" s="26"/>
      <c r="O583" s="24"/>
      <c r="P583" s="16"/>
      <c r="Q583" s="2">
        <f t="shared" si="45"/>
        <v>0</v>
      </c>
    </row>
    <row r="584" spans="12:17" x14ac:dyDescent="0.3">
      <c r="L584" s="21"/>
      <c r="M584" s="14"/>
      <c r="N584" s="26"/>
      <c r="O584" s="24"/>
      <c r="P584" s="16"/>
      <c r="Q584" s="2">
        <f t="shared" si="45"/>
        <v>0</v>
      </c>
    </row>
    <row r="585" spans="12:17" x14ac:dyDescent="0.3">
      <c r="L585" s="21"/>
      <c r="M585" s="14"/>
      <c r="N585" s="26"/>
      <c r="O585" s="24"/>
      <c r="P585" s="16"/>
      <c r="Q585" s="2">
        <f t="shared" si="45"/>
        <v>0</v>
      </c>
    </row>
    <row r="586" spans="12:17" x14ac:dyDescent="0.3">
      <c r="L586" s="21"/>
      <c r="M586" s="14"/>
      <c r="N586" s="26"/>
      <c r="O586" s="24"/>
      <c r="P586" s="16"/>
      <c r="Q586" s="2">
        <f t="shared" si="45"/>
        <v>0</v>
      </c>
    </row>
    <row r="587" spans="12:17" x14ac:dyDescent="0.3">
      <c r="L587" s="21"/>
      <c r="M587" s="14"/>
      <c r="N587" s="26"/>
      <c r="O587" s="24"/>
      <c r="P587" s="16"/>
      <c r="Q587" s="2">
        <f t="shared" si="45"/>
        <v>0</v>
      </c>
    </row>
    <row r="588" spans="12:17" x14ac:dyDescent="0.3">
      <c r="L588" s="21"/>
      <c r="M588" s="14"/>
      <c r="N588" s="26"/>
      <c r="O588" s="24"/>
      <c r="P588" s="16"/>
      <c r="Q588" s="2">
        <f t="shared" si="45"/>
        <v>0</v>
      </c>
    </row>
    <row r="589" spans="12:17" x14ac:dyDescent="0.3">
      <c r="L589" s="21"/>
      <c r="M589" s="14"/>
      <c r="N589" s="26"/>
      <c r="O589" s="24"/>
      <c r="P589" s="16"/>
      <c r="Q589" s="2">
        <f t="shared" si="45"/>
        <v>0</v>
      </c>
    </row>
    <row r="590" spans="12:17" x14ac:dyDescent="0.3">
      <c r="L590" s="21"/>
      <c r="M590" s="14"/>
      <c r="N590" s="26"/>
      <c r="O590" s="24"/>
      <c r="P590" s="16"/>
      <c r="Q590" s="2">
        <f t="shared" si="45"/>
        <v>0</v>
      </c>
    </row>
    <row r="591" spans="12:17" x14ac:dyDescent="0.3">
      <c r="L591" s="21"/>
      <c r="M591" s="14"/>
      <c r="N591" s="26"/>
      <c r="O591" s="24"/>
      <c r="P591" s="16"/>
      <c r="Q591" s="2">
        <f t="shared" si="45"/>
        <v>0</v>
      </c>
    </row>
    <row r="592" spans="12:17" x14ac:dyDescent="0.3">
      <c r="L592" s="21"/>
      <c r="M592" s="14"/>
      <c r="N592" s="26"/>
      <c r="O592" s="24"/>
      <c r="P592" s="16"/>
      <c r="Q592" s="2">
        <f t="shared" si="45"/>
        <v>0</v>
      </c>
    </row>
    <row r="593" spans="12:17" x14ac:dyDescent="0.3">
      <c r="L593" s="21"/>
      <c r="M593" s="14"/>
      <c r="N593" s="26"/>
      <c r="O593" s="24"/>
      <c r="P593" s="16"/>
      <c r="Q593" s="2">
        <f t="shared" si="45"/>
        <v>0</v>
      </c>
    </row>
    <row r="594" spans="12:17" x14ac:dyDescent="0.3">
      <c r="L594" s="21"/>
      <c r="M594" s="14"/>
      <c r="N594" s="26"/>
      <c r="O594" s="24"/>
      <c r="P594" s="16"/>
      <c r="Q594" s="2">
        <f t="shared" si="45"/>
        <v>0</v>
      </c>
    </row>
    <row r="595" spans="12:17" x14ac:dyDescent="0.3">
      <c r="L595" s="21"/>
      <c r="M595" s="14"/>
      <c r="N595" s="26"/>
      <c r="O595" s="24"/>
      <c r="P595" s="16"/>
      <c r="Q595" s="2">
        <f t="shared" si="45"/>
        <v>0</v>
      </c>
    </row>
    <row r="596" spans="12:17" x14ac:dyDescent="0.3">
      <c r="L596" s="21"/>
      <c r="M596" s="14"/>
      <c r="N596" s="26"/>
      <c r="O596" s="24"/>
      <c r="P596" s="16"/>
      <c r="Q596" s="2">
        <f t="shared" ref="Q596:Q659" si="46">C596-M596+P596</f>
        <v>0</v>
      </c>
    </row>
    <row r="597" spans="12:17" x14ac:dyDescent="0.3">
      <c r="L597" s="21"/>
      <c r="M597" s="14"/>
      <c r="N597" s="26"/>
      <c r="O597" s="24"/>
      <c r="P597" s="16"/>
      <c r="Q597" s="2">
        <f t="shared" si="46"/>
        <v>0</v>
      </c>
    </row>
    <row r="598" spans="12:17" x14ac:dyDescent="0.3">
      <c r="L598" s="21"/>
      <c r="M598" s="14"/>
      <c r="N598" s="26"/>
      <c r="O598" s="24"/>
      <c r="P598" s="16"/>
      <c r="Q598" s="2">
        <f t="shared" si="46"/>
        <v>0</v>
      </c>
    </row>
    <row r="599" spans="12:17" x14ac:dyDescent="0.3">
      <c r="L599" s="21"/>
      <c r="M599" s="14"/>
      <c r="N599" s="26"/>
      <c r="O599" s="24"/>
      <c r="P599" s="16"/>
      <c r="Q599" s="2">
        <f t="shared" si="46"/>
        <v>0</v>
      </c>
    </row>
    <row r="600" spans="12:17" x14ac:dyDescent="0.3">
      <c r="L600" s="21"/>
      <c r="M600" s="14"/>
      <c r="N600" s="26"/>
      <c r="O600" s="24"/>
      <c r="P600" s="16"/>
      <c r="Q600" s="2">
        <f t="shared" si="46"/>
        <v>0</v>
      </c>
    </row>
    <row r="601" spans="12:17" x14ac:dyDescent="0.3">
      <c r="L601" s="21"/>
      <c r="M601" s="14"/>
      <c r="N601" s="26"/>
      <c r="O601" s="24"/>
      <c r="P601" s="16"/>
      <c r="Q601" s="2">
        <f t="shared" si="46"/>
        <v>0</v>
      </c>
    </row>
    <row r="602" spans="12:17" x14ac:dyDescent="0.3">
      <c r="L602" s="21"/>
      <c r="M602" s="14"/>
      <c r="N602" s="26"/>
      <c r="O602" s="24"/>
      <c r="P602" s="16"/>
      <c r="Q602" s="2">
        <f t="shared" si="46"/>
        <v>0</v>
      </c>
    </row>
    <row r="603" spans="12:17" x14ac:dyDescent="0.3">
      <c r="L603" s="21"/>
      <c r="M603" s="14"/>
      <c r="N603" s="26"/>
      <c r="O603" s="24"/>
      <c r="P603" s="16"/>
      <c r="Q603" s="2">
        <f t="shared" si="46"/>
        <v>0</v>
      </c>
    </row>
    <row r="604" spans="12:17" x14ac:dyDescent="0.3">
      <c r="L604" s="21"/>
      <c r="M604" s="14"/>
      <c r="N604" s="26"/>
      <c r="O604" s="24"/>
      <c r="P604" s="16"/>
      <c r="Q604" s="2">
        <f t="shared" si="46"/>
        <v>0</v>
      </c>
    </row>
    <row r="605" spans="12:17" x14ac:dyDescent="0.3">
      <c r="L605" s="21"/>
      <c r="M605" s="14"/>
      <c r="N605" s="26"/>
      <c r="O605" s="24"/>
      <c r="P605" s="16"/>
      <c r="Q605" s="2">
        <f t="shared" si="46"/>
        <v>0</v>
      </c>
    </row>
    <row r="606" spans="12:17" x14ac:dyDescent="0.3">
      <c r="L606" s="21"/>
      <c r="M606" s="14"/>
      <c r="N606" s="26"/>
      <c r="O606" s="24"/>
      <c r="P606" s="16"/>
      <c r="Q606" s="2">
        <f t="shared" si="46"/>
        <v>0</v>
      </c>
    </row>
    <row r="607" spans="12:17" x14ac:dyDescent="0.3">
      <c r="L607" s="21"/>
      <c r="M607" s="14"/>
      <c r="N607" s="26"/>
      <c r="O607" s="24"/>
      <c r="P607" s="16"/>
      <c r="Q607" s="2">
        <f t="shared" si="46"/>
        <v>0</v>
      </c>
    </row>
    <row r="608" spans="12:17" x14ac:dyDescent="0.3">
      <c r="L608" s="21"/>
      <c r="M608" s="14"/>
      <c r="N608" s="26"/>
      <c r="O608" s="24"/>
      <c r="P608" s="16"/>
      <c r="Q608" s="2">
        <f t="shared" si="46"/>
        <v>0</v>
      </c>
    </row>
    <row r="609" spans="12:17" x14ac:dyDescent="0.3">
      <c r="L609" s="21"/>
      <c r="M609" s="14"/>
      <c r="N609" s="26"/>
      <c r="O609" s="24"/>
      <c r="P609" s="16"/>
      <c r="Q609" s="2">
        <f t="shared" si="46"/>
        <v>0</v>
      </c>
    </row>
    <row r="610" spans="12:17" x14ac:dyDescent="0.3">
      <c r="L610" s="21"/>
      <c r="M610" s="14"/>
      <c r="N610" s="26"/>
      <c r="O610" s="24"/>
      <c r="P610" s="16"/>
      <c r="Q610" s="2">
        <f t="shared" si="46"/>
        <v>0</v>
      </c>
    </row>
    <row r="611" spans="12:17" x14ac:dyDescent="0.3">
      <c r="L611" s="21"/>
      <c r="M611" s="14"/>
      <c r="N611" s="26"/>
      <c r="O611" s="24"/>
      <c r="P611" s="16"/>
      <c r="Q611" s="2">
        <f t="shared" si="46"/>
        <v>0</v>
      </c>
    </row>
    <row r="612" spans="12:17" x14ac:dyDescent="0.3">
      <c r="L612" s="21"/>
      <c r="M612" s="14"/>
      <c r="N612" s="26"/>
      <c r="O612" s="24"/>
      <c r="P612" s="16"/>
      <c r="Q612" s="2">
        <f t="shared" si="46"/>
        <v>0</v>
      </c>
    </row>
    <row r="613" spans="12:17" x14ac:dyDescent="0.3">
      <c r="L613" s="21"/>
      <c r="M613" s="14"/>
      <c r="N613" s="26"/>
      <c r="O613" s="24"/>
      <c r="P613" s="16"/>
      <c r="Q613" s="2">
        <f t="shared" si="46"/>
        <v>0</v>
      </c>
    </row>
    <row r="614" spans="12:17" x14ac:dyDescent="0.3">
      <c r="L614" s="21"/>
      <c r="M614" s="14"/>
      <c r="N614" s="26"/>
      <c r="O614" s="24"/>
      <c r="P614" s="16"/>
      <c r="Q614" s="2">
        <f t="shared" si="46"/>
        <v>0</v>
      </c>
    </row>
    <row r="615" spans="12:17" x14ac:dyDescent="0.3">
      <c r="L615" s="21"/>
      <c r="M615" s="14"/>
      <c r="N615" s="26"/>
      <c r="O615" s="24"/>
      <c r="P615" s="16"/>
      <c r="Q615" s="2">
        <f t="shared" si="46"/>
        <v>0</v>
      </c>
    </row>
    <row r="616" spans="12:17" x14ac:dyDescent="0.3">
      <c r="L616" s="21"/>
      <c r="M616" s="14"/>
      <c r="N616" s="26"/>
      <c r="O616" s="24"/>
      <c r="P616" s="16"/>
      <c r="Q616" s="2">
        <f t="shared" si="46"/>
        <v>0</v>
      </c>
    </row>
    <row r="617" spans="12:17" x14ac:dyDescent="0.3">
      <c r="L617" s="21"/>
      <c r="M617" s="14"/>
      <c r="N617" s="26"/>
      <c r="O617" s="24"/>
      <c r="P617" s="16"/>
      <c r="Q617" s="2">
        <f t="shared" si="46"/>
        <v>0</v>
      </c>
    </row>
    <row r="618" spans="12:17" x14ac:dyDescent="0.3">
      <c r="L618" s="21"/>
      <c r="M618" s="14"/>
      <c r="N618" s="26"/>
      <c r="O618" s="24"/>
      <c r="P618" s="16"/>
      <c r="Q618" s="2">
        <f t="shared" si="46"/>
        <v>0</v>
      </c>
    </row>
    <row r="619" spans="12:17" x14ac:dyDescent="0.3">
      <c r="L619" s="21"/>
      <c r="M619" s="14"/>
      <c r="N619" s="26"/>
      <c r="O619" s="24"/>
      <c r="P619" s="16"/>
      <c r="Q619" s="2">
        <f t="shared" si="46"/>
        <v>0</v>
      </c>
    </row>
    <row r="620" spans="12:17" x14ac:dyDescent="0.3">
      <c r="L620" s="21"/>
      <c r="M620" s="14"/>
      <c r="N620" s="26"/>
      <c r="O620" s="24"/>
      <c r="P620" s="16"/>
      <c r="Q620" s="2">
        <f t="shared" si="46"/>
        <v>0</v>
      </c>
    </row>
    <row r="621" spans="12:17" x14ac:dyDescent="0.3">
      <c r="L621" s="21"/>
      <c r="M621" s="14"/>
      <c r="N621" s="26"/>
      <c r="O621" s="24"/>
      <c r="P621" s="16"/>
      <c r="Q621" s="2">
        <f t="shared" si="46"/>
        <v>0</v>
      </c>
    </row>
    <row r="622" spans="12:17" x14ac:dyDescent="0.3">
      <c r="L622" s="21"/>
      <c r="M622" s="14"/>
      <c r="N622" s="26"/>
      <c r="O622" s="24"/>
      <c r="P622" s="16"/>
      <c r="Q622" s="2">
        <f t="shared" si="46"/>
        <v>0</v>
      </c>
    </row>
    <row r="623" spans="12:17" x14ac:dyDescent="0.3">
      <c r="L623" s="21"/>
      <c r="M623" s="14"/>
      <c r="N623" s="26"/>
      <c r="O623" s="24"/>
      <c r="P623" s="16"/>
      <c r="Q623" s="2">
        <f t="shared" si="46"/>
        <v>0</v>
      </c>
    </row>
    <row r="624" spans="12:17" x14ac:dyDescent="0.3">
      <c r="L624" s="21"/>
      <c r="M624" s="14"/>
      <c r="N624" s="26"/>
      <c r="O624" s="24"/>
      <c r="P624" s="16"/>
      <c r="Q624" s="2">
        <f t="shared" si="46"/>
        <v>0</v>
      </c>
    </row>
    <row r="625" spans="12:17" x14ac:dyDescent="0.3">
      <c r="L625" s="21"/>
      <c r="M625" s="14"/>
      <c r="N625" s="26"/>
      <c r="O625" s="24"/>
      <c r="P625" s="16"/>
      <c r="Q625" s="2">
        <f t="shared" si="46"/>
        <v>0</v>
      </c>
    </row>
    <row r="626" spans="12:17" x14ac:dyDescent="0.3">
      <c r="L626" s="21"/>
      <c r="M626" s="14"/>
      <c r="N626" s="26"/>
      <c r="O626" s="24"/>
      <c r="P626" s="16"/>
      <c r="Q626" s="2">
        <f t="shared" si="46"/>
        <v>0</v>
      </c>
    </row>
    <row r="627" spans="12:17" x14ac:dyDescent="0.3">
      <c r="L627" s="21"/>
      <c r="M627" s="14"/>
      <c r="N627" s="26"/>
      <c r="O627" s="24"/>
      <c r="P627" s="16"/>
      <c r="Q627" s="2">
        <f t="shared" si="46"/>
        <v>0</v>
      </c>
    </row>
    <row r="628" spans="12:17" x14ac:dyDescent="0.3">
      <c r="L628" s="21"/>
      <c r="M628" s="14"/>
      <c r="N628" s="26"/>
      <c r="O628" s="24"/>
      <c r="P628" s="16"/>
      <c r="Q628" s="2">
        <f t="shared" si="46"/>
        <v>0</v>
      </c>
    </row>
    <row r="629" spans="12:17" x14ac:dyDescent="0.3">
      <c r="L629" s="21"/>
      <c r="M629" s="14"/>
      <c r="N629" s="26"/>
      <c r="O629" s="24"/>
      <c r="P629" s="16"/>
      <c r="Q629" s="2">
        <f t="shared" si="46"/>
        <v>0</v>
      </c>
    </row>
    <row r="630" spans="12:17" x14ac:dyDescent="0.3">
      <c r="L630" s="21"/>
      <c r="M630" s="14"/>
      <c r="N630" s="26"/>
      <c r="O630" s="24"/>
      <c r="P630" s="16"/>
      <c r="Q630" s="2">
        <f t="shared" si="46"/>
        <v>0</v>
      </c>
    </row>
    <row r="631" spans="12:17" x14ac:dyDescent="0.3">
      <c r="L631" s="21"/>
      <c r="M631" s="14"/>
      <c r="N631" s="26"/>
      <c r="O631" s="24"/>
      <c r="P631" s="16"/>
      <c r="Q631" s="2">
        <f t="shared" si="46"/>
        <v>0</v>
      </c>
    </row>
    <row r="632" spans="12:17" x14ac:dyDescent="0.3">
      <c r="L632" s="21"/>
      <c r="M632" s="14"/>
      <c r="N632" s="26"/>
      <c r="O632" s="24"/>
      <c r="P632" s="16"/>
      <c r="Q632" s="2">
        <f t="shared" si="46"/>
        <v>0</v>
      </c>
    </row>
    <row r="633" spans="12:17" x14ac:dyDescent="0.3">
      <c r="L633" s="21"/>
      <c r="M633" s="14"/>
      <c r="N633" s="26"/>
      <c r="O633" s="24"/>
      <c r="P633" s="16"/>
      <c r="Q633" s="2">
        <f t="shared" si="46"/>
        <v>0</v>
      </c>
    </row>
    <row r="634" spans="12:17" x14ac:dyDescent="0.3">
      <c r="L634" s="21"/>
      <c r="M634" s="14"/>
      <c r="N634" s="26"/>
      <c r="O634" s="24"/>
      <c r="P634" s="16"/>
      <c r="Q634" s="2">
        <f t="shared" si="46"/>
        <v>0</v>
      </c>
    </row>
    <row r="635" spans="12:17" x14ac:dyDescent="0.3">
      <c r="L635" s="21"/>
      <c r="M635" s="14"/>
      <c r="N635" s="26"/>
      <c r="O635" s="24"/>
      <c r="P635" s="16"/>
      <c r="Q635" s="2">
        <f t="shared" si="46"/>
        <v>0</v>
      </c>
    </row>
    <row r="636" spans="12:17" x14ac:dyDescent="0.3">
      <c r="L636" s="21"/>
      <c r="M636" s="14"/>
      <c r="N636" s="26"/>
      <c r="O636" s="24"/>
      <c r="P636" s="16"/>
      <c r="Q636" s="2">
        <f t="shared" si="46"/>
        <v>0</v>
      </c>
    </row>
    <row r="637" spans="12:17" x14ac:dyDescent="0.3">
      <c r="L637" s="21"/>
      <c r="M637" s="14"/>
      <c r="N637" s="26"/>
      <c r="O637" s="24"/>
      <c r="P637" s="16"/>
      <c r="Q637" s="2">
        <f t="shared" si="46"/>
        <v>0</v>
      </c>
    </row>
    <row r="638" spans="12:17" x14ac:dyDescent="0.3">
      <c r="L638" s="21"/>
      <c r="M638" s="14"/>
      <c r="N638" s="26"/>
      <c r="O638" s="24"/>
      <c r="P638" s="16"/>
      <c r="Q638" s="2">
        <f t="shared" si="46"/>
        <v>0</v>
      </c>
    </row>
    <row r="639" spans="12:17" x14ac:dyDescent="0.3">
      <c r="L639" s="21"/>
      <c r="M639" s="14"/>
      <c r="N639" s="26"/>
      <c r="O639" s="24"/>
      <c r="P639" s="16"/>
      <c r="Q639" s="2">
        <f t="shared" si="46"/>
        <v>0</v>
      </c>
    </row>
    <row r="640" spans="12:17" x14ac:dyDescent="0.3">
      <c r="L640" s="21"/>
      <c r="M640" s="14"/>
      <c r="N640" s="26"/>
      <c r="O640" s="24"/>
      <c r="P640" s="16"/>
      <c r="Q640" s="2">
        <f t="shared" si="46"/>
        <v>0</v>
      </c>
    </row>
    <row r="641" spans="12:17" x14ac:dyDescent="0.3">
      <c r="L641" s="21"/>
      <c r="M641" s="14"/>
      <c r="N641" s="26"/>
      <c r="O641" s="24"/>
      <c r="P641" s="16"/>
      <c r="Q641" s="2">
        <f t="shared" si="46"/>
        <v>0</v>
      </c>
    </row>
    <row r="642" spans="12:17" x14ac:dyDescent="0.3">
      <c r="L642" s="21"/>
      <c r="M642" s="14"/>
      <c r="N642" s="26"/>
      <c r="O642" s="24"/>
      <c r="P642" s="16"/>
      <c r="Q642" s="2">
        <f t="shared" si="46"/>
        <v>0</v>
      </c>
    </row>
    <row r="643" spans="12:17" x14ac:dyDescent="0.3">
      <c r="L643" s="21"/>
      <c r="M643" s="14"/>
      <c r="N643" s="26"/>
      <c r="O643" s="24"/>
      <c r="P643" s="16"/>
      <c r="Q643" s="2">
        <f t="shared" si="46"/>
        <v>0</v>
      </c>
    </row>
    <row r="644" spans="12:17" x14ac:dyDescent="0.3">
      <c r="L644" s="21"/>
      <c r="M644" s="14"/>
      <c r="N644" s="26"/>
      <c r="O644" s="24"/>
      <c r="P644" s="16"/>
      <c r="Q644" s="2">
        <f t="shared" si="46"/>
        <v>0</v>
      </c>
    </row>
    <row r="645" spans="12:17" x14ac:dyDescent="0.3">
      <c r="L645" s="21"/>
      <c r="M645" s="14"/>
      <c r="N645" s="26"/>
      <c r="O645" s="24"/>
      <c r="P645" s="16"/>
      <c r="Q645" s="2">
        <f t="shared" si="46"/>
        <v>0</v>
      </c>
    </row>
    <row r="646" spans="12:17" x14ac:dyDescent="0.3">
      <c r="L646" s="21"/>
      <c r="M646" s="14"/>
      <c r="N646" s="26"/>
      <c r="O646" s="24"/>
      <c r="P646" s="16"/>
      <c r="Q646" s="2">
        <f t="shared" si="46"/>
        <v>0</v>
      </c>
    </row>
    <row r="647" spans="12:17" x14ac:dyDescent="0.3">
      <c r="L647" s="21"/>
      <c r="M647" s="14"/>
      <c r="N647" s="26"/>
      <c r="O647" s="24"/>
      <c r="P647" s="16"/>
      <c r="Q647" s="2">
        <f t="shared" si="46"/>
        <v>0</v>
      </c>
    </row>
    <row r="648" spans="12:17" x14ac:dyDescent="0.3">
      <c r="L648" s="21"/>
      <c r="M648" s="14"/>
      <c r="N648" s="26"/>
      <c r="O648" s="24"/>
      <c r="P648" s="16"/>
      <c r="Q648" s="2">
        <f t="shared" si="46"/>
        <v>0</v>
      </c>
    </row>
    <row r="649" spans="12:17" x14ac:dyDescent="0.3">
      <c r="L649" s="21"/>
      <c r="M649" s="14"/>
      <c r="N649" s="26"/>
      <c r="O649" s="24"/>
      <c r="P649" s="16"/>
      <c r="Q649" s="2">
        <f t="shared" si="46"/>
        <v>0</v>
      </c>
    </row>
    <row r="650" spans="12:17" x14ac:dyDescent="0.3">
      <c r="L650" s="21"/>
      <c r="M650" s="14"/>
      <c r="N650" s="26"/>
      <c r="O650" s="24"/>
      <c r="P650" s="16"/>
      <c r="Q650" s="2">
        <f t="shared" si="46"/>
        <v>0</v>
      </c>
    </row>
    <row r="651" spans="12:17" x14ac:dyDescent="0.3">
      <c r="L651" s="21"/>
      <c r="M651" s="14"/>
      <c r="N651" s="26"/>
      <c r="O651" s="24"/>
      <c r="P651" s="16"/>
      <c r="Q651" s="2">
        <f t="shared" si="46"/>
        <v>0</v>
      </c>
    </row>
    <row r="652" spans="12:17" x14ac:dyDescent="0.3">
      <c r="L652" s="21"/>
      <c r="M652" s="14"/>
      <c r="N652" s="26"/>
      <c r="O652" s="24"/>
      <c r="P652" s="16"/>
      <c r="Q652" s="2">
        <f t="shared" si="46"/>
        <v>0</v>
      </c>
    </row>
    <row r="653" spans="12:17" x14ac:dyDescent="0.3">
      <c r="L653" s="21"/>
      <c r="M653" s="14"/>
      <c r="N653" s="26"/>
      <c r="O653" s="24"/>
      <c r="P653" s="16"/>
      <c r="Q653" s="2">
        <f t="shared" si="46"/>
        <v>0</v>
      </c>
    </row>
    <row r="654" spans="12:17" x14ac:dyDescent="0.3">
      <c r="L654" s="21"/>
      <c r="M654" s="14"/>
      <c r="N654" s="26"/>
      <c r="O654" s="24"/>
      <c r="P654" s="16"/>
      <c r="Q654" s="2">
        <f t="shared" si="46"/>
        <v>0</v>
      </c>
    </row>
    <row r="655" spans="12:17" x14ac:dyDescent="0.3">
      <c r="L655" s="21"/>
      <c r="M655" s="14"/>
      <c r="N655" s="26"/>
      <c r="O655" s="24"/>
      <c r="P655" s="16"/>
      <c r="Q655" s="2">
        <f t="shared" si="46"/>
        <v>0</v>
      </c>
    </row>
    <row r="656" spans="12:17" x14ac:dyDescent="0.3">
      <c r="L656" s="21"/>
      <c r="M656" s="14"/>
      <c r="N656" s="26"/>
      <c r="O656" s="24"/>
      <c r="P656" s="16"/>
      <c r="Q656" s="2">
        <f t="shared" si="46"/>
        <v>0</v>
      </c>
    </row>
    <row r="657" spans="12:17" x14ac:dyDescent="0.3">
      <c r="L657" s="21"/>
      <c r="M657" s="14"/>
      <c r="N657" s="26"/>
      <c r="O657" s="24"/>
      <c r="P657" s="16"/>
      <c r="Q657" s="2">
        <f t="shared" si="46"/>
        <v>0</v>
      </c>
    </row>
    <row r="658" spans="12:17" x14ac:dyDescent="0.3">
      <c r="L658" s="21"/>
      <c r="M658" s="14"/>
      <c r="N658" s="26"/>
      <c r="O658" s="24"/>
      <c r="P658" s="16"/>
      <c r="Q658" s="2">
        <f t="shared" si="46"/>
        <v>0</v>
      </c>
    </row>
    <row r="659" spans="12:17" x14ac:dyDescent="0.3">
      <c r="L659" s="21"/>
      <c r="M659" s="14"/>
      <c r="N659" s="26"/>
      <c r="O659" s="24"/>
      <c r="P659" s="16"/>
      <c r="Q659" s="2">
        <f t="shared" si="46"/>
        <v>0</v>
      </c>
    </row>
    <row r="660" spans="12:17" x14ac:dyDescent="0.3">
      <c r="L660" s="21"/>
      <c r="M660" s="14"/>
      <c r="N660" s="26"/>
      <c r="O660" s="24"/>
      <c r="P660" s="16"/>
      <c r="Q660" s="2">
        <f t="shared" ref="Q660:Q723" si="47">C660-M660+P660</f>
        <v>0</v>
      </c>
    </row>
    <row r="661" spans="12:17" x14ac:dyDescent="0.3">
      <c r="L661" s="21"/>
      <c r="M661" s="14"/>
      <c r="N661" s="26"/>
      <c r="O661" s="24"/>
      <c r="P661" s="16"/>
      <c r="Q661" s="2">
        <f t="shared" si="47"/>
        <v>0</v>
      </c>
    </row>
    <row r="662" spans="12:17" x14ac:dyDescent="0.3">
      <c r="L662" s="21"/>
      <c r="M662" s="14"/>
      <c r="N662" s="26"/>
      <c r="O662" s="24"/>
      <c r="P662" s="16"/>
      <c r="Q662" s="2">
        <f t="shared" si="47"/>
        <v>0</v>
      </c>
    </row>
    <row r="663" spans="12:17" x14ac:dyDescent="0.3">
      <c r="L663" s="21"/>
      <c r="M663" s="14"/>
      <c r="N663" s="26"/>
      <c r="O663" s="24"/>
      <c r="P663" s="16"/>
      <c r="Q663" s="2">
        <f t="shared" si="47"/>
        <v>0</v>
      </c>
    </row>
    <row r="664" spans="12:17" x14ac:dyDescent="0.3">
      <c r="L664" s="21"/>
      <c r="M664" s="14"/>
      <c r="N664" s="26"/>
      <c r="O664" s="24"/>
      <c r="P664" s="16"/>
      <c r="Q664" s="2">
        <f t="shared" si="47"/>
        <v>0</v>
      </c>
    </row>
    <row r="665" spans="12:17" x14ac:dyDescent="0.3">
      <c r="L665" s="21"/>
      <c r="M665" s="14"/>
      <c r="N665" s="26"/>
      <c r="O665" s="24"/>
      <c r="P665" s="16"/>
      <c r="Q665" s="2">
        <f t="shared" si="47"/>
        <v>0</v>
      </c>
    </row>
    <row r="666" spans="12:17" x14ac:dyDescent="0.3">
      <c r="L666" s="21"/>
      <c r="M666" s="14"/>
      <c r="N666" s="26"/>
      <c r="O666" s="24"/>
      <c r="P666" s="16"/>
      <c r="Q666" s="2">
        <f t="shared" si="47"/>
        <v>0</v>
      </c>
    </row>
    <row r="667" spans="12:17" x14ac:dyDescent="0.3">
      <c r="L667" s="21"/>
      <c r="M667" s="14"/>
      <c r="N667" s="26"/>
      <c r="O667" s="24"/>
      <c r="P667" s="16"/>
      <c r="Q667" s="2">
        <f t="shared" si="47"/>
        <v>0</v>
      </c>
    </row>
    <row r="668" spans="12:17" x14ac:dyDescent="0.3">
      <c r="L668" s="21"/>
      <c r="M668" s="14"/>
      <c r="N668" s="26"/>
      <c r="O668" s="24"/>
      <c r="P668" s="16"/>
      <c r="Q668" s="2">
        <f t="shared" si="47"/>
        <v>0</v>
      </c>
    </row>
    <row r="669" spans="12:17" x14ac:dyDescent="0.3">
      <c r="L669" s="21"/>
      <c r="M669" s="14"/>
      <c r="N669" s="26"/>
      <c r="O669" s="24"/>
      <c r="P669" s="16"/>
      <c r="Q669" s="2">
        <f t="shared" si="47"/>
        <v>0</v>
      </c>
    </row>
    <row r="670" spans="12:17" x14ac:dyDescent="0.3">
      <c r="L670" s="21"/>
      <c r="M670" s="14"/>
      <c r="N670" s="26"/>
      <c r="O670" s="24"/>
      <c r="P670" s="16"/>
      <c r="Q670" s="2">
        <f t="shared" si="47"/>
        <v>0</v>
      </c>
    </row>
    <row r="671" spans="12:17" x14ac:dyDescent="0.3">
      <c r="L671" s="21"/>
      <c r="M671" s="14"/>
      <c r="N671" s="26"/>
      <c r="O671" s="24"/>
      <c r="P671" s="16"/>
      <c r="Q671" s="2">
        <f t="shared" si="47"/>
        <v>0</v>
      </c>
    </row>
    <row r="672" spans="12:17" x14ac:dyDescent="0.3">
      <c r="L672" s="21"/>
      <c r="M672" s="14"/>
      <c r="N672" s="26"/>
      <c r="O672" s="24"/>
      <c r="P672" s="16"/>
      <c r="Q672" s="2">
        <f t="shared" si="47"/>
        <v>0</v>
      </c>
    </row>
    <row r="673" spans="12:17" x14ac:dyDescent="0.3">
      <c r="L673" s="21"/>
      <c r="M673" s="14"/>
      <c r="N673" s="26"/>
      <c r="O673" s="24"/>
      <c r="P673" s="16"/>
      <c r="Q673" s="2">
        <f t="shared" si="47"/>
        <v>0</v>
      </c>
    </row>
    <row r="674" spans="12:17" x14ac:dyDescent="0.3">
      <c r="L674" s="21"/>
      <c r="M674" s="14"/>
      <c r="N674" s="26"/>
      <c r="O674" s="24"/>
      <c r="P674" s="16"/>
      <c r="Q674" s="2">
        <f t="shared" si="47"/>
        <v>0</v>
      </c>
    </row>
    <row r="675" spans="12:17" x14ac:dyDescent="0.3">
      <c r="L675" s="21"/>
      <c r="M675" s="14"/>
      <c r="N675" s="26"/>
      <c r="O675" s="24"/>
      <c r="P675" s="16"/>
      <c r="Q675" s="2">
        <f t="shared" si="47"/>
        <v>0</v>
      </c>
    </row>
    <row r="676" spans="12:17" x14ac:dyDescent="0.3">
      <c r="L676" s="21"/>
      <c r="M676" s="14"/>
      <c r="N676" s="26"/>
      <c r="O676" s="24"/>
      <c r="P676" s="16"/>
      <c r="Q676" s="2">
        <f t="shared" si="47"/>
        <v>0</v>
      </c>
    </row>
    <row r="677" spans="12:17" x14ac:dyDescent="0.3">
      <c r="L677" s="21"/>
      <c r="M677" s="14"/>
      <c r="N677" s="26"/>
      <c r="O677" s="24"/>
      <c r="P677" s="16"/>
      <c r="Q677" s="2">
        <f t="shared" si="47"/>
        <v>0</v>
      </c>
    </row>
    <row r="678" spans="12:17" x14ac:dyDescent="0.3">
      <c r="L678" s="21"/>
      <c r="M678" s="14"/>
      <c r="N678" s="26"/>
      <c r="O678" s="24"/>
      <c r="P678" s="16"/>
      <c r="Q678" s="2">
        <f t="shared" si="47"/>
        <v>0</v>
      </c>
    </row>
    <row r="679" spans="12:17" x14ac:dyDescent="0.3">
      <c r="L679" s="21"/>
      <c r="M679" s="14"/>
      <c r="N679" s="26"/>
      <c r="O679" s="24"/>
      <c r="P679" s="16"/>
      <c r="Q679" s="2">
        <f t="shared" si="47"/>
        <v>0</v>
      </c>
    </row>
    <row r="680" spans="12:17" x14ac:dyDescent="0.3">
      <c r="L680" s="21"/>
      <c r="M680" s="14"/>
      <c r="N680" s="26"/>
      <c r="O680" s="24"/>
      <c r="P680" s="16"/>
      <c r="Q680" s="2">
        <f t="shared" si="47"/>
        <v>0</v>
      </c>
    </row>
    <row r="681" spans="12:17" x14ac:dyDescent="0.3">
      <c r="L681" s="21"/>
      <c r="M681" s="14"/>
      <c r="N681" s="26"/>
      <c r="O681" s="24"/>
      <c r="P681" s="16"/>
      <c r="Q681" s="2">
        <f t="shared" si="47"/>
        <v>0</v>
      </c>
    </row>
    <row r="682" spans="12:17" x14ac:dyDescent="0.3">
      <c r="L682" s="21"/>
      <c r="M682" s="14"/>
      <c r="N682" s="26"/>
      <c r="O682" s="24"/>
      <c r="P682" s="16"/>
      <c r="Q682" s="2">
        <f t="shared" si="47"/>
        <v>0</v>
      </c>
    </row>
    <row r="683" spans="12:17" x14ac:dyDescent="0.3">
      <c r="L683" s="21"/>
      <c r="M683" s="14"/>
      <c r="N683" s="26"/>
      <c r="O683" s="24"/>
      <c r="P683" s="16"/>
      <c r="Q683" s="2">
        <f t="shared" si="47"/>
        <v>0</v>
      </c>
    </row>
    <row r="684" spans="12:17" x14ac:dyDescent="0.3">
      <c r="L684" s="21"/>
      <c r="M684" s="14"/>
      <c r="N684" s="26"/>
      <c r="O684" s="24"/>
      <c r="P684" s="16"/>
      <c r="Q684" s="2">
        <f t="shared" si="47"/>
        <v>0</v>
      </c>
    </row>
    <row r="685" spans="12:17" x14ac:dyDescent="0.3">
      <c r="L685" s="21"/>
      <c r="M685" s="14"/>
      <c r="N685" s="26"/>
      <c r="O685" s="24"/>
      <c r="P685" s="16"/>
      <c r="Q685" s="2">
        <f t="shared" si="47"/>
        <v>0</v>
      </c>
    </row>
    <row r="686" spans="12:17" x14ac:dyDescent="0.3">
      <c r="L686" s="21"/>
      <c r="M686" s="14"/>
      <c r="N686" s="26"/>
      <c r="O686" s="24"/>
      <c r="P686" s="16"/>
      <c r="Q686" s="2">
        <f t="shared" si="47"/>
        <v>0</v>
      </c>
    </row>
    <row r="687" spans="12:17" x14ac:dyDescent="0.3">
      <c r="L687" s="21"/>
      <c r="M687" s="14"/>
      <c r="N687" s="26"/>
      <c r="O687" s="24"/>
      <c r="P687" s="16"/>
      <c r="Q687" s="2">
        <f t="shared" si="47"/>
        <v>0</v>
      </c>
    </row>
    <row r="688" spans="12:17" x14ac:dyDescent="0.3">
      <c r="L688" s="21"/>
      <c r="M688" s="14"/>
      <c r="N688" s="26"/>
      <c r="O688" s="24"/>
      <c r="P688" s="16"/>
      <c r="Q688" s="2">
        <f t="shared" si="47"/>
        <v>0</v>
      </c>
    </row>
    <row r="689" spans="12:17" x14ac:dyDescent="0.3">
      <c r="L689" s="21"/>
      <c r="M689" s="14"/>
      <c r="N689" s="26"/>
      <c r="O689" s="24"/>
      <c r="P689" s="16"/>
      <c r="Q689" s="2">
        <f t="shared" si="47"/>
        <v>0</v>
      </c>
    </row>
    <row r="690" spans="12:17" x14ac:dyDescent="0.3">
      <c r="L690" s="21"/>
      <c r="M690" s="14"/>
      <c r="N690" s="26"/>
      <c r="O690" s="24"/>
      <c r="P690" s="16"/>
      <c r="Q690" s="2">
        <f t="shared" si="47"/>
        <v>0</v>
      </c>
    </row>
    <row r="691" spans="12:17" x14ac:dyDescent="0.3">
      <c r="L691" s="21"/>
      <c r="M691" s="14"/>
      <c r="N691" s="26"/>
      <c r="O691" s="24"/>
      <c r="P691" s="16"/>
      <c r="Q691" s="2">
        <f t="shared" si="47"/>
        <v>0</v>
      </c>
    </row>
    <row r="692" spans="12:17" x14ac:dyDescent="0.3">
      <c r="L692" s="21"/>
      <c r="M692" s="14"/>
      <c r="N692" s="26"/>
      <c r="O692" s="24"/>
      <c r="P692" s="16"/>
      <c r="Q692" s="2">
        <f t="shared" si="47"/>
        <v>0</v>
      </c>
    </row>
    <row r="693" spans="12:17" x14ac:dyDescent="0.3">
      <c r="L693" s="21"/>
      <c r="M693" s="14"/>
      <c r="N693" s="26"/>
      <c r="O693" s="24"/>
      <c r="P693" s="16"/>
      <c r="Q693" s="2">
        <f t="shared" si="47"/>
        <v>0</v>
      </c>
    </row>
    <row r="694" spans="12:17" x14ac:dyDescent="0.3">
      <c r="L694" s="21"/>
      <c r="M694" s="14"/>
      <c r="N694" s="26"/>
      <c r="O694" s="24"/>
      <c r="P694" s="16"/>
      <c r="Q694" s="2">
        <f t="shared" si="47"/>
        <v>0</v>
      </c>
    </row>
    <row r="695" spans="12:17" x14ac:dyDescent="0.3">
      <c r="L695" s="21"/>
      <c r="M695" s="14"/>
      <c r="N695" s="26"/>
      <c r="O695" s="24"/>
      <c r="P695" s="16"/>
      <c r="Q695" s="2">
        <f t="shared" si="47"/>
        <v>0</v>
      </c>
    </row>
    <row r="696" spans="12:17" x14ac:dyDescent="0.3">
      <c r="L696" s="21"/>
      <c r="M696" s="14"/>
      <c r="N696" s="26"/>
      <c r="O696" s="24"/>
      <c r="P696" s="16"/>
      <c r="Q696" s="2">
        <f t="shared" si="47"/>
        <v>0</v>
      </c>
    </row>
    <row r="697" spans="12:17" x14ac:dyDescent="0.3">
      <c r="L697" s="21"/>
      <c r="M697" s="14"/>
      <c r="N697" s="26"/>
      <c r="O697" s="24"/>
      <c r="P697" s="16"/>
      <c r="Q697" s="2">
        <f t="shared" si="47"/>
        <v>0</v>
      </c>
    </row>
    <row r="698" spans="12:17" x14ac:dyDescent="0.3">
      <c r="L698" s="21"/>
      <c r="M698" s="14"/>
      <c r="N698" s="26"/>
      <c r="O698" s="24"/>
      <c r="P698" s="16"/>
      <c r="Q698" s="2">
        <f t="shared" si="47"/>
        <v>0</v>
      </c>
    </row>
    <row r="699" spans="12:17" x14ac:dyDescent="0.3">
      <c r="L699" s="21"/>
      <c r="M699" s="14"/>
      <c r="N699" s="26"/>
      <c r="O699" s="24"/>
      <c r="P699" s="16"/>
      <c r="Q699" s="2">
        <f t="shared" si="47"/>
        <v>0</v>
      </c>
    </row>
    <row r="700" spans="12:17" x14ac:dyDescent="0.3">
      <c r="L700" s="21"/>
      <c r="M700" s="14"/>
      <c r="N700" s="26"/>
      <c r="O700" s="24"/>
      <c r="P700" s="16"/>
      <c r="Q700" s="2">
        <f t="shared" si="47"/>
        <v>0</v>
      </c>
    </row>
    <row r="701" spans="12:17" x14ac:dyDescent="0.3">
      <c r="L701" s="21"/>
      <c r="M701" s="14"/>
      <c r="N701" s="26"/>
      <c r="O701" s="24"/>
      <c r="P701" s="16"/>
      <c r="Q701" s="2">
        <f t="shared" si="47"/>
        <v>0</v>
      </c>
    </row>
    <row r="702" spans="12:17" x14ac:dyDescent="0.3">
      <c r="L702" s="21"/>
      <c r="M702" s="14"/>
      <c r="N702" s="26"/>
      <c r="O702" s="24"/>
      <c r="P702" s="16"/>
      <c r="Q702" s="2">
        <f t="shared" si="47"/>
        <v>0</v>
      </c>
    </row>
    <row r="703" spans="12:17" x14ac:dyDescent="0.3">
      <c r="L703" s="21"/>
      <c r="M703" s="14"/>
      <c r="N703" s="26"/>
      <c r="O703" s="24"/>
      <c r="P703" s="16"/>
      <c r="Q703" s="2">
        <f t="shared" si="47"/>
        <v>0</v>
      </c>
    </row>
    <row r="704" spans="12:17" x14ac:dyDescent="0.3">
      <c r="L704" s="21"/>
      <c r="M704" s="14"/>
      <c r="N704" s="26"/>
      <c r="O704" s="24"/>
      <c r="P704" s="16"/>
      <c r="Q704" s="2">
        <f t="shared" si="47"/>
        <v>0</v>
      </c>
    </row>
    <row r="705" spans="12:17" x14ac:dyDescent="0.3">
      <c r="L705" s="21"/>
      <c r="M705" s="14"/>
      <c r="N705" s="26"/>
      <c r="O705" s="24"/>
      <c r="P705" s="16"/>
      <c r="Q705" s="2">
        <f t="shared" si="47"/>
        <v>0</v>
      </c>
    </row>
    <row r="706" spans="12:17" x14ac:dyDescent="0.3">
      <c r="L706" s="21"/>
      <c r="M706" s="14"/>
      <c r="N706" s="26"/>
      <c r="O706" s="24"/>
      <c r="P706" s="16"/>
      <c r="Q706" s="2">
        <f t="shared" si="47"/>
        <v>0</v>
      </c>
    </row>
    <row r="707" spans="12:17" x14ac:dyDescent="0.3">
      <c r="L707" s="21"/>
      <c r="M707" s="14"/>
      <c r="N707" s="26"/>
      <c r="O707" s="24"/>
      <c r="P707" s="16"/>
      <c r="Q707" s="2">
        <f t="shared" si="47"/>
        <v>0</v>
      </c>
    </row>
    <row r="708" spans="12:17" x14ac:dyDescent="0.3">
      <c r="L708" s="21"/>
      <c r="M708" s="14"/>
      <c r="N708" s="26"/>
      <c r="O708" s="24"/>
      <c r="P708" s="16"/>
      <c r="Q708" s="2">
        <f t="shared" si="47"/>
        <v>0</v>
      </c>
    </row>
    <row r="709" spans="12:17" x14ac:dyDescent="0.3">
      <c r="L709" s="21"/>
      <c r="M709" s="14"/>
      <c r="N709" s="26"/>
      <c r="O709" s="24"/>
      <c r="P709" s="16"/>
      <c r="Q709" s="2">
        <f t="shared" si="47"/>
        <v>0</v>
      </c>
    </row>
    <row r="710" spans="12:17" x14ac:dyDescent="0.3">
      <c r="L710" s="21"/>
      <c r="M710" s="14"/>
      <c r="N710" s="26"/>
      <c r="O710" s="24"/>
      <c r="P710" s="16"/>
      <c r="Q710" s="2">
        <f t="shared" si="47"/>
        <v>0</v>
      </c>
    </row>
    <row r="711" spans="12:17" x14ac:dyDescent="0.3">
      <c r="L711" s="21"/>
      <c r="M711" s="14"/>
      <c r="N711" s="26"/>
      <c r="O711" s="24"/>
      <c r="P711" s="16"/>
      <c r="Q711" s="2">
        <f t="shared" si="47"/>
        <v>0</v>
      </c>
    </row>
    <row r="712" spans="12:17" x14ac:dyDescent="0.3">
      <c r="L712" s="21"/>
      <c r="M712" s="14"/>
      <c r="N712" s="26"/>
      <c r="O712" s="24"/>
      <c r="P712" s="16"/>
      <c r="Q712" s="2">
        <f t="shared" si="47"/>
        <v>0</v>
      </c>
    </row>
    <row r="713" spans="12:17" x14ac:dyDescent="0.3">
      <c r="L713" s="21"/>
      <c r="M713" s="14"/>
      <c r="N713" s="26"/>
      <c r="O713" s="24"/>
      <c r="P713" s="16"/>
      <c r="Q713" s="2">
        <f t="shared" si="47"/>
        <v>0</v>
      </c>
    </row>
    <row r="714" spans="12:17" x14ac:dyDescent="0.3">
      <c r="L714" s="21"/>
      <c r="M714" s="14"/>
      <c r="N714" s="26"/>
      <c r="O714" s="24"/>
      <c r="P714" s="16"/>
      <c r="Q714" s="2">
        <f t="shared" si="47"/>
        <v>0</v>
      </c>
    </row>
    <row r="715" spans="12:17" x14ac:dyDescent="0.3">
      <c r="L715" s="21"/>
      <c r="M715" s="14"/>
      <c r="N715" s="26"/>
      <c r="O715" s="24"/>
      <c r="P715" s="16"/>
      <c r="Q715" s="2">
        <f t="shared" si="47"/>
        <v>0</v>
      </c>
    </row>
    <row r="716" spans="12:17" x14ac:dyDescent="0.3">
      <c r="L716" s="21"/>
      <c r="M716" s="14"/>
      <c r="N716" s="26"/>
      <c r="O716" s="24"/>
      <c r="P716" s="16"/>
      <c r="Q716" s="2">
        <f t="shared" si="47"/>
        <v>0</v>
      </c>
    </row>
    <row r="717" spans="12:17" x14ac:dyDescent="0.3">
      <c r="L717" s="21"/>
      <c r="M717" s="14"/>
      <c r="N717" s="26"/>
      <c r="O717" s="24"/>
      <c r="P717" s="16"/>
      <c r="Q717" s="2">
        <f t="shared" si="47"/>
        <v>0</v>
      </c>
    </row>
    <row r="718" spans="12:17" x14ac:dyDescent="0.3">
      <c r="L718" s="21"/>
      <c r="M718" s="14"/>
      <c r="N718" s="26"/>
      <c r="O718" s="24"/>
      <c r="P718" s="16"/>
      <c r="Q718" s="2">
        <f t="shared" si="47"/>
        <v>0</v>
      </c>
    </row>
    <row r="719" spans="12:17" x14ac:dyDescent="0.3">
      <c r="L719" s="21"/>
      <c r="M719" s="14"/>
      <c r="N719" s="26"/>
      <c r="O719" s="24"/>
      <c r="P719" s="16"/>
      <c r="Q719" s="2">
        <f t="shared" si="47"/>
        <v>0</v>
      </c>
    </row>
    <row r="720" spans="12:17" x14ac:dyDescent="0.3">
      <c r="L720" s="21"/>
      <c r="M720" s="14"/>
      <c r="N720" s="26"/>
      <c r="O720" s="24"/>
      <c r="P720" s="16"/>
      <c r="Q720" s="2">
        <f t="shared" si="47"/>
        <v>0</v>
      </c>
    </row>
    <row r="721" spans="12:17" x14ac:dyDescent="0.3">
      <c r="L721" s="21"/>
      <c r="M721" s="14"/>
      <c r="N721" s="26"/>
      <c r="O721" s="24"/>
      <c r="P721" s="16"/>
      <c r="Q721" s="2">
        <f t="shared" si="47"/>
        <v>0</v>
      </c>
    </row>
    <row r="722" spans="12:17" x14ac:dyDescent="0.3">
      <c r="L722" s="21"/>
      <c r="M722" s="14"/>
      <c r="N722" s="26"/>
      <c r="O722" s="24"/>
      <c r="P722" s="16"/>
      <c r="Q722" s="2">
        <f t="shared" si="47"/>
        <v>0</v>
      </c>
    </row>
    <row r="723" spans="12:17" x14ac:dyDescent="0.3">
      <c r="L723" s="21"/>
      <c r="M723" s="14"/>
      <c r="N723" s="26"/>
      <c r="O723" s="24"/>
      <c r="P723" s="16"/>
      <c r="Q723" s="2">
        <f t="shared" si="47"/>
        <v>0</v>
      </c>
    </row>
    <row r="724" spans="12:17" x14ac:dyDescent="0.3">
      <c r="L724" s="21"/>
      <c r="M724" s="14"/>
      <c r="N724" s="26"/>
      <c r="O724" s="24"/>
      <c r="P724" s="16"/>
      <c r="Q724" s="2">
        <f t="shared" ref="Q724:Q787" si="48">C724-M724+P724</f>
        <v>0</v>
      </c>
    </row>
    <row r="725" spans="12:17" x14ac:dyDescent="0.3">
      <c r="L725" s="21"/>
      <c r="M725" s="14"/>
      <c r="N725" s="26"/>
      <c r="O725" s="24"/>
      <c r="P725" s="16"/>
      <c r="Q725" s="2">
        <f t="shared" si="48"/>
        <v>0</v>
      </c>
    </row>
    <row r="726" spans="12:17" x14ac:dyDescent="0.3">
      <c r="L726" s="21"/>
      <c r="M726" s="14"/>
      <c r="N726" s="26"/>
      <c r="O726" s="24"/>
      <c r="P726" s="16"/>
      <c r="Q726" s="2">
        <f t="shared" si="48"/>
        <v>0</v>
      </c>
    </row>
    <row r="727" spans="12:17" x14ac:dyDescent="0.3">
      <c r="L727" s="21"/>
      <c r="M727" s="14"/>
      <c r="N727" s="26"/>
      <c r="O727" s="24"/>
      <c r="P727" s="16"/>
      <c r="Q727" s="2">
        <f t="shared" si="48"/>
        <v>0</v>
      </c>
    </row>
    <row r="728" spans="12:17" x14ac:dyDescent="0.3">
      <c r="L728" s="21"/>
      <c r="M728" s="14"/>
      <c r="N728" s="26"/>
      <c r="O728" s="24"/>
      <c r="P728" s="16"/>
      <c r="Q728" s="2">
        <f t="shared" si="48"/>
        <v>0</v>
      </c>
    </row>
    <row r="729" spans="12:17" x14ac:dyDescent="0.3">
      <c r="L729" s="21"/>
      <c r="M729" s="14"/>
      <c r="N729" s="26"/>
      <c r="O729" s="24"/>
      <c r="P729" s="16"/>
      <c r="Q729" s="2">
        <f t="shared" si="48"/>
        <v>0</v>
      </c>
    </row>
    <row r="730" spans="12:17" x14ac:dyDescent="0.3">
      <c r="L730" s="21"/>
      <c r="M730" s="14"/>
      <c r="N730" s="26"/>
      <c r="O730" s="24"/>
      <c r="P730" s="16"/>
      <c r="Q730" s="2">
        <f t="shared" si="48"/>
        <v>0</v>
      </c>
    </row>
    <row r="731" spans="12:17" x14ac:dyDescent="0.3">
      <c r="L731" s="21"/>
      <c r="M731" s="14"/>
      <c r="N731" s="26"/>
      <c r="O731" s="24"/>
      <c r="P731" s="16"/>
      <c r="Q731" s="2">
        <f t="shared" si="48"/>
        <v>0</v>
      </c>
    </row>
    <row r="732" spans="12:17" x14ac:dyDescent="0.3">
      <c r="L732" s="21"/>
      <c r="M732" s="14"/>
      <c r="N732" s="26"/>
      <c r="O732" s="24"/>
      <c r="P732" s="16"/>
      <c r="Q732" s="2">
        <f t="shared" si="48"/>
        <v>0</v>
      </c>
    </row>
    <row r="733" spans="12:17" x14ac:dyDescent="0.3">
      <c r="L733" s="21"/>
      <c r="M733" s="14"/>
      <c r="N733" s="26"/>
      <c r="O733" s="24"/>
      <c r="P733" s="16"/>
      <c r="Q733" s="2">
        <f t="shared" si="48"/>
        <v>0</v>
      </c>
    </row>
    <row r="734" spans="12:17" x14ac:dyDescent="0.3">
      <c r="L734" s="21"/>
      <c r="M734" s="14"/>
      <c r="N734" s="26"/>
      <c r="O734" s="24"/>
      <c r="P734" s="16"/>
      <c r="Q734" s="2">
        <f t="shared" si="48"/>
        <v>0</v>
      </c>
    </row>
    <row r="735" spans="12:17" x14ac:dyDescent="0.3">
      <c r="L735" s="21"/>
      <c r="M735" s="14"/>
      <c r="N735" s="26"/>
      <c r="O735" s="24"/>
      <c r="P735" s="16"/>
      <c r="Q735" s="2">
        <f t="shared" si="48"/>
        <v>0</v>
      </c>
    </row>
    <row r="736" spans="12:17" x14ac:dyDescent="0.3">
      <c r="L736" s="21"/>
      <c r="M736" s="14"/>
      <c r="N736" s="26"/>
      <c r="O736" s="24"/>
      <c r="P736" s="16"/>
      <c r="Q736" s="2">
        <f t="shared" si="48"/>
        <v>0</v>
      </c>
    </row>
    <row r="737" spans="12:17" x14ac:dyDescent="0.3">
      <c r="L737" s="21"/>
      <c r="M737" s="14"/>
      <c r="N737" s="26"/>
      <c r="O737" s="24"/>
      <c r="P737" s="16"/>
      <c r="Q737" s="2">
        <f t="shared" si="48"/>
        <v>0</v>
      </c>
    </row>
    <row r="738" spans="12:17" x14ac:dyDescent="0.3">
      <c r="L738" s="21"/>
      <c r="M738" s="14"/>
      <c r="N738" s="26"/>
      <c r="O738" s="24"/>
      <c r="P738" s="16"/>
      <c r="Q738" s="2">
        <f t="shared" si="48"/>
        <v>0</v>
      </c>
    </row>
    <row r="739" spans="12:17" x14ac:dyDescent="0.3">
      <c r="L739" s="21"/>
      <c r="M739" s="14"/>
      <c r="N739" s="26"/>
      <c r="O739" s="24"/>
      <c r="P739" s="16"/>
      <c r="Q739" s="2">
        <f t="shared" si="48"/>
        <v>0</v>
      </c>
    </row>
    <row r="740" spans="12:17" x14ac:dyDescent="0.3">
      <c r="L740" s="21"/>
      <c r="M740" s="14"/>
      <c r="N740" s="26"/>
      <c r="O740" s="24"/>
      <c r="P740" s="16"/>
      <c r="Q740" s="2">
        <f t="shared" si="48"/>
        <v>0</v>
      </c>
    </row>
    <row r="741" spans="12:17" x14ac:dyDescent="0.3">
      <c r="L741" s="21"/>
      <c r="M741" s="14"/>
      <c r="N741" s="26"/>
      <c r="O741" s="24"/>
      <c r="P741" s="16"/>
      <c r="Q741" s="2">
        <f t="shared" si="48"/>
        <v>0</v>
      </c>
    </row>
    <row r="742" spans="12:17" x14ac:dyDescent="0.3">
      <c r="L742" s="21"/>
      <c r="M742" s="14"/>
      <c r="N742" s="26"/>
      <c r="O742" s="24"/>
      <c r="P742" s="16"/>
      <c r="Q742" s="2">
        <f t="shared" si="48"/>
        <v>0</v>
      </c>
    </row>
    <row r="743" spans="12:17" x14ac:dyDescent="0.3">
      <c r="L743" s="21"/>
      <c r="M743" s="14"/>
      <c r="N743" s="26"/>
      <c r="O743" s="24"/>
      <c r="P743" s="16"/>
      <c r="Q743" s="2">
        <f t="shared" si="48"/>
        <v>0</v>
      </c>
    </row>
    <row r="744" spans="12:17" x14ac:dyDescent="0.3">
      <c r="L744" s="21"/>
      <c r="M744" s="14"/>
      <c r="N744" s="26"/>
      <c r="O744" s="24"/>
      <c r="P744" s="16"/>
      <c r="Q744" s="2">
        <f t="shared" si="48"/>
        <v>0</v>
      </c>
    </row>
    <row r="745" spans="12:17" x14ac:dyDescent="0.3">
      <c r="L745" s="21"/>
      <c r="M745" s="14"/>
      <c r="N745" s="26"/>
      <c r="O745" s="24"/>
      <c r="P745" s="16"/>
      <c r="Q745" s="2">
        <f t="shared" si="48"/>
        <v>0</v>
      </c>
    </row>
    <row r="746" spans="12:17" x14ac:dyDescent="0.3">
      <c r="L746" s="21"/>
      <c r="M746" s="14"/>
      <c r="N746" s="26"/>
      <c r="O746" s="24"/>
      <c r="P746" s="16"/>
      <c r="Q746" s="2">
        <f t="shared" si="48"/>
        <v>0</v>
      </c>
    </row>
    <row r="747" spans="12:17" x14ac:dyDescent="0.3">
      <c r="L747" s="21"/>
      <c r="M747" s="14"/>
      <c r="N747" s="26"/>
      <c r="O747" s="24"/>
      <c r="P747" s="16"/>
      <c r="Q747" s="2">
        <f t="shared" si="48"/>
        <v>0</v>
      </c>
    </row>
    <row r="748" spans="12:17" x14ac:dyDescent="0.3">
      <c r="L748" s="21"/>
      <c r="M748" s="14"/>
      <c r="N748" s="26"/>
      <c r="O748" s="24"/>
      <c r="P748" s="16"/>
      <c r="Q748" s="2">
        <f t="shared" si="48"/>
        <v>0</v>
      </c>
    </row>
    <row r="749" spans="12:17" x14ac:dyDescent="0.3">
      <c r="L749" s="21"/>
      <c r="M749" s="14"/>
      <c r="N749" s="26"/>
      <c r="O749" s="24"/>
      <c r="P749" s="16"/>
      <c r="Q749" s="2">
        <f t="shared" si="48"/>
        <v>0</v>
      </c>
    </row>
    <row r="750" spans="12:17" x14ac:dyDescent="0.3">
      <c r="L750" s="21"/>
      <c r="M750" s="14"/>
      <c r="N750" s="26"/>
      <c r="O750" s="24"/>
      <c r="P750" s="16"/>
      <c r="Q750" s="2">
        <f t="shared" si="48"/>
        <v>0</v>
      </c>
    </row>
    <row r="751" spans="12:17" x14ac:dyDescent="0.3">
      <c r="L751" s="21"/>
      <c r="M751" s="14"/>
      <c r="N751" s="26"/>
      <c r="O751" s="24"/>
      <c r="P751" s="16"/>
      <c r="Q751" s="2">
        <f t="shared" si="48"/>
        <v>0</v>
      </c>
    </row>
    <row r="752" spans="12:17" x14ac:dyDescent="0.3">
      <c r="L752" s="21"/>
      <c r="M752" s="14"/>
      <c r="N752" s="26"/>
      <c r="O752" s="24"/>
      <c r="P752" s="16"/>
      <c r="Q752" s="2">
        <f t="shared" si="48"/>
        <v>0</v>
      </c>
    </row>
    <row r="753" spans="12:17" x14ac:dyDescent="0.3">
      <c r="L753" s="21"/>
      <c r="M753" s="14"/>
      <c r="N753" s="26"/>
      <c r="O753" s="24"/>
      <c r="P753" s="16"/>
      <c r="Q753" s="2">
        <f t="shared" si="48"/>
        <v>0</v>
      </c>
    </row>
    <row r="754" spans="12:17" x14ac:dyDescent="0.3">
      <c r="L754" s="21"/>
      <c r="M754" s="14"/>
      <c r="N754" s="26"/>
      <c r="O754" s="24"/>
      <c r="P754" s="16"/>
      <c r="Q754" s="2">
        <f t="shared" si="48"/>
        <v>0</v>
      </c>
    </row>
    <row r="755" spans="12:17" x14ac:dyDescent="0.3">
      <c r="L755" s="21"/>
      <c r="M755" s="14"/>
      <c r="N755" s="26"/>
      <c r="O755" s="24"/>
      <c r="P755" s="16"/>
      <c r="Q755" s="2">
        <f t="shared" si="48"/>
        <v>0</v>
      </c>
    </row>
    <row r="756" spans="12:17" x14ac:dyDescent="0.3">
      <c r="L756" s="21"/>
      <c r="M756" s="14"/>
      <c r="N756" s="26"/>
      <c r="O756" s="24"/>
      <c r="P756" s="16"/>
      <c r="Q756" s="2">
        <f t="shared" si="48"/>
        <v>0</v>
      </c>
    </row>
    <row r="757" spans="12:17" x14ac:dyDescent="0.3">
      <c r="L757" s="21"/>
      <c r="M757" s="14"/>
      <c r="N757" s="26"/>
      <c r="O757" s="24"/>
      <c r="P757" s="16"/>
      <c r="Q757" s="2">
        <f t="shared" si="48"/>
        <v>0</v>
      </c>
    </row>
    <row r="758" spans="12:17" x14ac:dyDescent="0.3">
      <c r="L758" s="21"/>
      <c r="M758" s="14"/>
      <c r="N758" s="26"/>
      <c r="O758" s="24"/>
      <c r="P758" s="16"/>
      <c r="Q758" s="2">
        <f t="shared" si="48"/>
        <v>0</v>
      </c>
    </row>
    <row r="759" spans="12:17" x14ac:dyDescent="0.3">
      <c r="L759" s="21"/>
      <c r="M759" s="14"/>
      <c r="N759" s="26"/>
      <c r="O759" s="24"/>
      <c r="P759" s="16"/>
      <c r="Q759" s="2">
        <f t="shared" si="48"/>
        <v>0</v>
      </c>
    </row>
    <row r="760" spans="12:17" x14ac:dyDescent="0.3">
      <c r="L760" s="21"/>
      <c r="M760" s="14"/>
      <c r="N760" s="26"/>
      <c r="O760" s="24"/>
      <c r="P760" s="16"/>
      <c r="Q760" s="2">
        <f t="shared" si="48"/>
        <v>0</v>
      </c>
    </row>
    <row r="761" spans="12:17" x14ac:dyDescent="0.3">
      <c r="L761" s="21"/>
      <c r="M761" s="14"/>
      <c r="N761" s="26"/>
      <c r="O761" s="24"/>
      <c r="P761" s="16"/>
      <c r="Q761" s="2">
        <f t="shared" si="48"/>
        <v>0</v>
      </c>
    </row>
    <row r="762" spans="12:17" x14ac:dyDescent="0.3">
      <c r="L762" s="21"/>
      <c r="M762" s="14"/>
      <c r="N762" s="26"/>
      <c r="O762" s="24"/>
      <c r="P762" s="16"/>
      <c r="Q762" s="2">
        <f t="shared" si="48"/>
        <v>0</v>
      </c>
    </row>
    <row r="763" spans="12:17" x14ac:dyDescent="0.3">
      <c r="L763" s="21"/>
      <c r="M763" s="14"/>
      <c r="N763" s="26"/>
      <c r="O763" s="24"/>
      <c r="P763" s="16"/>
      <c r="Q763" s="2">
        <f t="shared" si="48"/>
        <v>0</v>
      </c>
    </row>
    <row r="764" spans="12:17" x14ac:dyDescent="0.3">
      <c r="L764" s="21"/>
      <c r="M764" s="14"/>
      <c r="N764" s="26"/>
      <c r="O764" s="24"/>
      <c r="P764" s="16"/>
      <c r="Q764" s="2">
        <f t="shared" si="48"/>
        <v>0</v>
      </c>
    </row>
    <row r="765" spans="12:17" x14ac:dyDescent="0.3">
      <c r="L765" s="21"/>
      <c r="M765" s="14"/>
      <c r="N765" s="26"/>
      <c r="O765" s="24"/>
      <c r="P765" s="16"/>
      <c r="Q765" s="2">
        <f t="shared" si="48"/>
        <v>0</v>
      </c>
    </row>
    <row r="766" spans="12:17" x14ac:dyDescent="0.3">
      <c r="L766" s="21"/>
      <c r="M766" s="14"/>
      <c r="N766" s="26"/>
      <c r="O766" s="24"/>
      <c r="P766" s="16"/>
      <c r="Q766" s="2">
        <f t="shared" si="48"/>
        <v>0</v>
      </c>
    </row>
    <row r="767" spans="12:17" x14ac:dyDescent="0.3">
      <c r="L767" s="21"/>
      <c r="M767" s="14"/>
      <c r="N767" s="26"/>
      <c r="O767" s="24"/>
      <c r="P767" s="16"/>
      <c r="Q767" s="2">
        <f t="shared" si="48"/>
        <v>0</v>
      </c>
    </row>
    <row r="768" spans="12:17" x14ac:dyDescent="0.3">
      <c r="L768" s="21"/>
      <c r="M768" s="14"/>
      <c r="N768" s="26"/>
      <c r="O768" s="24"/>
      <c r="P768" s="16"/>
      <c r="Q768" s="2">
        <f t="shared" si="48"/>
        <v>0</v>
      </c>
    </row>
    <row r="769" spans="12:17" x14ac:dyDescent="0.3">
      <c r="L769" s="21"/>
      <c r="M769" s="14"/>
      <c r="N769" s="26"/>
      <c r="O769" s="24"/>
      <c r="P769" s="16"/>
      <c r="Q769" s="2">
        <f t="shared" si="48"/>
        <v>0</v>
      </c>
    </row>
    <row r="770" spans="12:17" x14ac:dyDescent="0.3">
      <c r="L770" s="21"/>
      <c r="M770" s="14"/>
      <c r="N770" s="26"/>
      <c r="O770" s="24"/>
      <c r="P770" s="16"/>
      <c r="Q770" s="2">
        <f t="shared" si="48"/>
        <v>0</v>
      </c>
    </row>
    <row r="771" spans="12:17" x14ac:dyDescent="0.3">
      <c r="L771" s="21"/>
      <c r="M771" s="14"/>
      <c r="N771" s="26"/>
      <c r="O771" s="24"/>
      <c r="P771" s="16"/>
      <c r="Q771" s="2">
        <f t="shared" si="48"/>
        <v>0</v>
      </c>
    </row>
    <row r="772" spans="12:17" x14ac:dyDescent="0.3">
      <c r="L772" s="21"/>
      <c r="M772" s="14"/>
      <c r="N772" s="26"/>
      <c r="O772" s="24"/>
      <c r="P772" s="16"/>
      <c r="Q772" s="2">
        <f t="shared" si="48"/>
        <v>0</v>
      </c>
    </row>
    <row r="773" spans="12:17" x14ac:dyDescent="0.3">
      <c r="L773" s="21"/>
      <c r="M773" s="14"/>
      <c r="N773" s="26"/>
      <c r="O773" s="24"/>
      <c r="P773" s="16"/>
      <c r="Q773" s="2">
        <f t="shared" si="48"/>
        <v>0</v>
      </c>
    </row>
    <row r="774" spans="12:17" x14ac:dyDescent="0.3">
      <c r="L774" s="21"/>
      <c r="M774" s="14"/>
      <c r="N774" s="26"/>
      <c r="O774" s="24"/>
      <c r="P774" s="16"/>
      <c r="Q774" s="2">
        <f t="shared" si="48"/>
        <v>0</v>
      </c>
    </row>
    <row r="775" spans="12:17" x14ac:dyDescent="0.3">
      <c r="L775" s="21"/>
      <c r="M775" s="14"/>
      <c r="N775" s="26"/>
      <c r="O775" s="24"/>
      <c r="P775" s="16"/>
      <c r="Q775" s="2">
        <f t="shared" si="48"/>
        <v>0</v>
      </c>
    </row>
    <row r="776" spans="12:17" x14ac:dyDescent="0.3">
      <c r="L776" s="21"/>
      <c r="M776" s="14"/>
      <c r="N776" s="26"/>
      <c r="O776" s="24"/>
      <c r="P776" s="16"/>
      <c r="Q776" s="2">
        <f t="shared" si="48"/>
        <v>0</v>
      </c>
    </row>
    <row r="777" spans="12:17" x14ac:dyDescent="0.3">
      <c r="L777" s="21"/>
      <c r="M777" s="14"/>
      <c r="N777" s="26"/>
      <c r="O777" s="24"/>
      <c r="P777" s="16"/>
      <c r="Q777" s="2">
        <f t="shared" si="48"/>
        <v>0</v>
      </c>
    </row>
    <row r="778" spans="12:17" x14ac:dyDescent="0.3">
      <c r="L778" s="21"/>
      <c r="M778" s="14"/>
      <c r="N778" s="26"/>
      <c r="O778" s="24"/>
      <c r="P778" s="16"/>
      <c r="Q778" s="2">
        <f t="shared" si="48"/>
        <v>0</v>
      </c>
    </row>
    <row r="779" spans="12:17" x14ac:dyDescent="0.3">
      <c r="L779" s="21"/>
      <c r="M779" s="14"/>
      <c r="N779" s="26"/>
      <c r="O779" s="24"/>
      <c r="P779" s="16"/>
      <c r="Q779" s="2">
        <f t="shared" si="48"/>
        <v>0</v>
      </c>
    </row>
    <row r="780" spans="12:17" x14ac:dyDescent="0.3">
      <c r="L780" s="21"/>
      <c r="M780" s="14"/>
      <c r="N780" s="26"/>
      <c r="O780" s="24"/>
      <c r="P780" s="16"/>
      <c r="Q780" s="2">
        <f t="shared" si="48"/>
        <v>0</v>
      </c>
    </row>
    <row r="781" spans="12:17" x14ac:dyDescent="0.3">
      <c r="L781" s="21"/>
      <c r="M781" s="14"/>
      <c r="N781" s="26"/>
      <c r="O781" s="24"/>
      <c r="P781" s="16"/>
      <c r="Q781" s="2">
        <f t="shared" si="48"/>
        <v>0</v>
      </c>
    </row>
    <row r="782" spans="12:17" x14ac:dyDescent="0.3">
      <c r="L782" s="21"/>
      <c r="M782" s="14"/>
      <c r="N782" s="26"/>
      <c r="O782" s="24"/>
      <c r="P782" s="16"/>
      <c r="Q782" s="2">
        <f t="shared" si="48"/>
        <v>0</v>
      </c>
    </row>
    <row r="783" spans="12:17" x14ac:dyDescent="0.3">
      <c r="L783" s="21"/>
      <c r="M783" s="14"/>
      <c r="N783" s="26"/>
      <c r="O783" s="24"/>
      <c r="P783" s="16"/>
      <c r="Q783" s="2">
        <f t="shared" si="48"/>
        <v>0</v>
      </c>
    </row>
    <row r="784" spans="12:17" x14ac:dyDescent="0.3">
      <c r="L784" s="21"/>
      <c r="M784" s="14"/>
      <c r="N784" s="26"/>
      <c r="O784" s="24"/>
      <c r="P784" s="16"/>
      <c r="Q784" s="2">
        <f t="shared" si="48"/>
        <v>0</v>
      </c>
    </row>
    <row r="785" spans="12:17" x14ac:dyDescent="0.3">
      <c r="L785" s="21"/>
      <c r="M785" s="14"/>
      <c r="N785" s="26"/>
      <c r="O785" s="24"/>
      <c r="P785" s="16"/>
      <c r="Q785" s="2">
        <f t="shared" si="48"/>
        <v>0</v>
      </c>
    </row>
    <row r="786" spans="12:17" x14ac:dyDescent="0.3">
      <c r="L786" s="21"/>
      <c r="M786" s="14"/>
      <c r="N786" s="26"/>
      <c r="O786" s="24"/>
      <c r="P786" s="16"/>
      <c r="Q786" s="2">
        <f t="shared" si="48"/>
        <v>0</v>
      </c>
    </row>
    <row r="787" spans="12:17" x14ac:dyDescent="0.3">
      <c r="L787" s="21"/>
      <c r="M787" s="14"/>
      <c r="N787" s="26"/>
      <c r="O787" s="24"/>
      <c r="P787" s="16"/>
      <c r="Q787" s="2">
        <f t="shared" si="48"/>
        <v>0</v>
      </c>
    </row>
    <row r="788" spans="12:17" x14ac:dyDescent="0.3">
      <c r="L788" s="21"/>
      <c r="M788" s="14"/>
      <c r="N788" s="26"/>
      <c r="O788" s="24"/>
      <c r="P788" s="16"/>
      <c r="Q788" s="2">
        <f t="shared" ref="Q788:Q851" si="49">C788-M788+P788</f>
        <v>0</v>
      </c>
    </row>
    <row r="789" spans="12:17" x14ac:dyDescent="0.3">
      <c r="L789" s="21"/>
      <c r="M789" s="14"/>
      <c r="N789" s="26"/>
      <c r="O789" s="24"/>
      <c r="P789" s="16"/>
      <c r="Q789" s="2">
        <f t="shared" si="49"/>
        <v>0</v>
      </c>
    </row>
    <row r="790" spans="12:17" x14ac:dyDescent="0.3">
      <c r="L790" s="21"/>
      <c r="M790" s="14"/>
      <c r="N790" s="26"/>
      <c r="O790" s="24"/>
      <c r="P790" s="16"/>
      <c r="Q790" s="2">
        <f t="shared" si="49"/>
        <v>0</v>
      </c>
    </row>
    <row r="791" spans="12:17" x14ac:dyDescent="0.3">
      <c r="L791" s="21"/>
      <c r="M791" s="14"/>
      <c r="N791" s="26"/>
      <c r="O791" s="24"/>
      <c r="P791" s="16"/>
      <c r="Q791" s="2">
        <f t="shared" si="49"/>
        <v>0</v>
      </c>
    </row>
    <row r="792" spans="12:17" x14ac:dyDescent="0.3">
      <c r="L792" s="21"/>
      <c r="M792" s="14"/>
      <c r="N792" s="26"/>
      <c r="O792" s="24"/>
      <c r="P792" s="16"/>
      <c r="Q792" s="2">
        <f t="shared" si="49"/>
        <v>0</v>
      </c>
    </row>
    <row r="793" spans="12:17" x14ac:dyDescent="0.3">
      <c r="L793" s="21"/>
      <c r="M793" s="14"/>
      <c r="N793" s="26"/>
      <c r="O793" s="24"/>
      <c r="P793" s="16"/>
      <c r="Q793" s="2">
        <f t="shared" si="49"/>
        <v>0</v>
      </c>
    </row>
    <row r="794" spans="12:17" x14ac:dyDescent="0.3">
      <c r="L794" s="21"/>
      <c r="M794" s="14"/>
      <c r="N794" s="26"/>
      <c r="O794" s="24"/>
      <c r="P794" s="16"/>
      <c r="Q794" s="2">
        <f t="shared" si="49"/>
        <v>0</v>
      </c>
    </row>
    <row r="795" spans="12:17" x14ac:dyDescent="0.3">
      <c r="L795" s="21"/>
      <c r="M795" s="14"/>
      <c r="N795" s="26"/>
      <c r="O795" s="24"/>
      <c r="P795" s="16"/>
      <c r="Q795" s="2">
        <f t="shared" si="49"/>
        <v>0</v>
      </c>
    </row>
    <row r="796" spans="12:17" x14ac:dyDescent="0.3">
      <c r="L796" s="21"/>
      <c r="M796" s="14"/>
      <c r="N796" s="26"/>
      <c r="O796" s="24"/>
      <c r="P796" s="16"/>
      <c r="Q796" s="2">
        <f t="shared" si="49"/>
        <v>0</v>
      </c>
    </row>
    <row r="797" spans="12:17" x14ac:dyDescent="0.3">
      <c r="L797" s="21"/>
      <c r="M797" s="14"/>
      <c r="N797" s="26"/>
      <c r="O797" s="24"/>
      <c r="P797" s="16"/>
      <c r="Q797" s="2">
        <f t="shared" si="49"/>
        <v>0</v>
      </c>
    </row>
    <row r="798" spans="12:17" x14ac:dyDescent="0.3">
      <c r="L798" s="21"/>
      <c r="M798" s="14"/>
      <c r="N798" s="26"/>
      <c r="O798" s="24"/>
      <c r="P798" s="16"/>
      <c r="Q798" s="2">
        <f t="shared" si="49"/>
        <v>0</v>
      </c>
    </row>
    <row r="799" spans="12:17" x14ac:dyDescent="0.3">
      <c r="L799" s="21"/>
      <c r="M799" s="14"/>
      <c r="N799" s="26"/>
      <c r="O799" s="24"/>
      <c r="P799" s="16"/>
      <c r="Q799" s="2">
        <f t="shared" si="49"/>
        <v>0</v>
      </c>
    </row>
    <row r="800" spans="12:17" x14ac:dyDescent="0.3">
      <c r="L800" s="21"/>
      <c r="M800" s="14"/>
      <c r="N800" s="26"/>
      <c r="O800" s="24"/>
      <c r="P800" s="16"/>
      <c r="Q800" s="2">
        <f t="shared" si="49"/>
        <v>0</v>
      </c>
    </row>
    <row r="801" spans="12:17" x14ac:dyDescent="0.3">
      <c r="L801" s="21"/>
      <c r="M801" s="14"/>
      <c r="N801" s="26"/>
      <c r="O801" s="24"/>
      <c r="P801" s="16"/>
      <c r="Q801" s="2">
        <f t="shared" si="49"/>
        <v>0</v>
      </c>
    </row>
    <row r="802" spans="12:17" x14ac:dyDescent="0.3">
      <c r="L802" s="21"/>
      <c r="M802" s="14"/>
      <c r="N802" s="26"/>
      <c r="O802" s="24"/>
      <c r="P802" s="16"/>
      <c r="Q802" s="2">
        <f t="shared" si="49"/>
        <v>0</v>
      </c>
    </row>
    <row r="803" spans="12:17" x14ac:dyDescent="0.3">
      <c r="L803" s="21"/>
      <c r="M803" s="14"/>
      <c r="N803" s="26"/>
      <c r="O803" s="24"/>
      <c r="P803" s="16"/>
      <c r="Q803" s="2">
        <f t="shared" si="49"/>
        <v>0</v>
      </c>
    </row>
    <row r="804" spans="12:17" x14ac:dyDescent="0.3">
      <c r="L804" s="21"/>
      <c r="M804" s="14"/>
      <c r="N804" s="26"/>
      <c r="O804" s="24"/>
      <c r="P804" s="16"/>
      <c r="Q804" s="2">
        <f t="shared" si="49"/>
        <v>0</v>
      </c>
    </row>
    <row r="805" spans="12:17" x14ac:dyDescent="0.3">
      <c r="L805" s="21"/>
      <c r="M805" s="14"/>
      <c r="N805" s="26"/>
      <c r="O805" s="24"/>
      <c r="P805" s="16"/>
      <c r="Q805" s="2">
        <f t="shared" si="49"/>
        <v>0</v>
      </c>
    </row>
    <row r="806" spans="12:17" x14ac:dyDescent="0.3">
      <c r="L806" s="21"/>
      <c r="M806" s="14"/>
      <c r="N806" s="26"/>
      <c r="O806" s="24"/>
      <c r="P806" s="16"/>
      <c r="Q806" s="2">
        <f t="shared" si="49"/>
        <v>0</v>
      </c>
    </row>
    <row r="807" spans="12:17" x14ac:dyDescent="0.3">
      <c r="L807" s="21"/>
      <c r="M807" s="14"/>
      <c r="N807" s="26"/>
      <c r="O807" s="24"/>
      <c r="P807" s="16"/>
      <c r="Q807" s="2">
        <f t="shared" si="49"/>
        <v>0</v>
      </c>
    </row>
    <row r="808" spans="12:17" x14ac:dyDescent="0.3">
      <c r="L808" s="21"/>
      <c r="M808" s="14"/>
      <c r="N808" s="26"/>
      <c r="O808" s="24"/>
      <c r="P808" s="16"/>
      <c r="Q808" s="2">
        <f t="shared" si="49"/>
        <v>0</v>
      </c>
    </row>
    <row r="809" spans="12:17" x14ac:dyDescent="0.3">
      <c r="L809" s="21"/>
      <c r="M809" s="14"/>
      <c r="N809" s="26"/>
      <c r="O809" s="24"/>
      <c r="P809" s="16"/>
      <c r="Q809" s="2">
        <f t="shared" si="49"/>
        <v>0</v>
      </c>
    </row>
    <row r="810" spans="12:17" x14ac:dyDescent="0.3">
      <c r="L810" s="21"/>
      <c r="M810" s="14"/>
      <c r="N810" s="26"/>
      <c r="O810" s="24"/>
      <c r="P810" s="16"/>
      <c r="Q810" s="2">
        <f t="shared" si="49"/>
        <v>0</v>
      </c>
    </row>
    <row r="811" spans="12:17" x14ac:dyDescent="0.3">
      <c r="L811" s="21"/>
      <c r="M811" s="14"/>
      <c r="N811" s="26"/>
      <c r="O811" s="24"/>
      <c r="P811" s="16"/>
      <c r="Q811" s="2">
        <f t="shared" si="49"/>
        <v>0</v>
      </c>
    </row>
    <row r="812" spans="12:17" x14ac:dyDescent="0.3">
      <c r="L812" s="21"/>
      <c r="M812" s="14"/>
      <c r="N812" s="26"/>
      <c r="O812" s="24"/>
      <c r="P812" s="16"/>
      <c r="Q812" s="2">
        <f t="shared" si="49"/>
        <v>0</v>
      </c>
    </row>
    <row r="813" spans="12:17" x14ac:dyDescent="0.3">
      <c r="L813" s="21"/>
      <c r="M813" s="14"/>
      <c r="N813" s="26"/>
      <c r="O813" s="24"/>
      <c r="P813" s="16"/>
      <c r="Q813" s="2">
        <f t="shared" si="49"/>
        <v>0</v>
      </c>
    </row>
    <row r="814" spans="12:17" x14ac:dyDescent="0.3">
      <c r="L814" s="21"/>
      <c r="M814" s="14"/>
      <c r="N814" s="26"/>
      <c r="O814" s="24"/>
      <c r="P814" s="16"/>
      <c r="Q814" s="2">
        <f t="shared" si="49"/>
        <v>0</v>
      </c>
    </row>
    <row r="815" spans="12:17" x14ac:dyDescent="0.3">
      <c r="L815" s="21"/>
      <c r="M815" s="14"/>
      <c r="N815" s="26"/>
      <c r="O815" s="24"/>
      <c r="P815" s="16"/>
      <c r="Q815" s="2">
        <f t="shared" si="49"/>
        <v>0</v>
      </c>
    </row>
    <row r="816" spans="12:17" x14ac:dyDescent="0.3">
      <c r="L816" s="21"/>
      <c r="M816" s="14"/>
      <c r="N816" s="26"/>
      <c r="O816" s="24"/>
      <c r="P816" s="16"/>
      <c r="Q816" s="2">
        <f t="shared" si="49"/>
        <v>0</v>
      </c>
    </row>
    <row r="817" spans="12:17" x14ac:dyDescent="0.3">
      <c r="L817" s="21"/>
      <c r="M817" s="14"/>
      <c r="N817" s="26"/>
      <c r="O817" s="24"/>
      <c r="P817" s="16"/>
      <c r="Q817" s="2">
        <f t="shared" si="49"/>
        <v>0</v>
      </c>
    </row>
    <row r="818" spans="12:17" x14ac:dyDescent="0.3">
      <c r="L818" s="21"/>
      <c r="M818" s="14"/>
      <c r="N818" s="26"/>
      <c r="O818" s="24"/>
      <c r="P818" s="16"/>
      <c r="Q818" s="2">
        <f t="shared" si="49"/>
        <v>0</v>
      </c>
    </row>
    <row r="819" spans="12:17" x14ac:dyDescent="0.3">
      <c r="L819" s="21"/>
      <c r="M819" s="14"/>
      <c r="N819" s="26"/>
      <c r="O819" s="24"/>
      <c r="P819" s="16"/>
      <c r="Q819" s="2">
        <f t="shared" si="49"/>
        <v>0</v>
      </c>
    </row>
    <row r="820" spans="12:17" x14ac:dyDescent="0.3">
      <c r="L820" s="21"/>
      <c r="M820" s="14"/>
      <c r="N820" s="26"/>
      <c r="O820" s="24"/>
      <c r="P820" s="16"/>
      <c r="Q820" s="2">
        <f t="shared" si="49"/>
        <v>0</v>
      </c>
    </row>
    <row r="821" spans="12:17" x14ac:dyDescent="0.3">
      <c r="L821" s="21"/>
      <c r="M821" s="14"/>
      <c r="N821" s="26"/>
      <c r="O821" s="24"/>
      <c r="P821" s="16"/>
      <c r="Q821" s="2">
        <f t="shared" si="49"/>
        <v>0</v>
      </c>
    </row>
    <row r="822" spans="12:17" x14ac:dyDescent="0.3">
      <c r="L822" s="21"/>
      <c r="M822" s="14"/>
      <c r="N822" s="26"/>
      <c r="O822" s="24"/>
      <c r="P822" s="16"/>
      <c r="Q822" s="2">
        <f t="shared" si="49"/>
        <v>0</v>
      </c>
    </row>
    <row r="823" spans="12:17" x14ac:dyDescent="0.3">
      <c r="L823" s="21"/>
      <c r="M823" s="14"/>
      <c r="N823" s="26"/>
      <c r="O823" s="24"/>
      <c r="P823" s="16"/>
      <c r="Q823" s="2">
        <f t="shared" si="49"/>
        <v>0</v>
      </c>
    </row>
    <row r="824" spans="12:17" x14ac:dyDescent="0.3">
      <c r="L824" s="21"/>
      <c r="M824" s="14"/>
      <c r="N824" s="26"/>
      <c r="O824" s="24"/>
      <c r="P824" s="16"/>
      <c r="Q824" s="2">
        <f t="shared" si="49"/>
        <v>0</v>
      </c>
    </row>
    <row r="825" spans="12:17" x14ac:dyDescent="0.3">
      <c r="L825" s="21"/>
      <c r="M825" s="14"/>
      <c r="N825" s="26"/>
      <c r="O825" s="24"/>
      <c r="P825" s="16"/>
      <c r="Q825" s="2">
        <f t="shared" si="49"/>
        <v>0</v>
      </c>
    </row>
    <row r="826" spans="12:17" x14ac:dyDescent="0.3">
      <c r="L826" s="21"/>
      <c r="M826" s="14"/>
      <c r="N826" s="26"/>
      <c r="O826" s="24"/>
      <c r="P826" s="16"/>
      <c r="Q826" s="2">
        <f t="shared" si="49"/>
        <v>0</v>
      </c>
    </row>
    <row r="827" spans="12:17" x14ac:dyDescent="0.3">
      <c r="L827" s="21"/>
      <c r="M827" s="14"/>
      <c r="N827" s="26"/>
      <c r="O827" s="24"/>
      <c r="P827" s="16"/>
      <c r="Q827" s="2">
        <f t="shared" si="49"/>
        <v>0</v>
      </c>
    </row>
    <row r="828" spans="12:17" x14ac:dyDescent="0.3">
      <c r="L828" s="21"/>
      <c r="M828" s="14"/>
      <c r="N828" s="26"/>
      <c r="O828" s="24"/>
      <c r="P828" s="16"/>
      <c r="Q828" s="2">
        <f t="shared" si="49"/>
        <v>0</v>
      </c>
    </row>
    <row r="829" spans="12:17" x14ac:dyDescent="0.3">
      <c r="L829" s="21"/>
      <c r="M829" s="14"/>
      <c r="N829" s="26"/>
      <c r="O829" s="24"/>
      <c r="P829" s="16"/>
      <c r="Q829" s="2">
        <f t="shared" si="49"/>
        <v>0</v>
      </c>
    </row>
    <row r="830" spans="12:17" x14ac:dyDescent="0.3">
      <c r="L830" s="21"/>
      <c r="M830" s="14"/>
      <c r="N830" s="26"/>
      <c r="O830" s="24"/>
      <c r="P830" s="16"/>
      <c r="Q830" s="2">
        <f t="shared" si="49"/>
        <v>0</v>
      </c>
    </row>
    <row r="831" spans="12:17" x14ac:dyDescent="0.3">
      <c r="L831" s="21"/>
      <c r="M831" s="14"/>
      <c r="N831" s="26"/>
      <c r="O831" s="24"/>
      <c r="P831" s="16"/>
      <c r="Q831" s="2">
        <f t="shared" si="49"/>
        <v>0</v>
      </c>
    </row>
    <row r="832" spans="12:17" x14ac:dyDescent="0.3">
      <c r="L832" s="21"/>
      <c r="M832" s="14"/>
      <c r="N832" s="26"/>
      <c r="O832" s="24"/>
      <c r="P832" s="16"/>
      <c r="Q832" s="2">
        <f t="shared" si="49"/>
        <v>0</v>
      </c>
    </row>
    <row r="833" spans="12:17" x14ac:dyDescent="0.3">
      <c r="L833" s="21"/>
      <c r="M833" s="14"/>
      <c r="N833" s="26"/>
      <c r="O833" s="24"/>
      <c r="P833" s="16"/>
      <c r="Q833" s="2">
        <f t="shared" si="49"/>
        <v>0</v>
      </c>
    </row>
    <row r="834" spans="12:17" x14ac:dyDescent="0.3">
      <c r="L834" s="21"/>
      <c r="M834" s="14"/>
      <c r="N834" s="26"/>
      <c r="O834" s="24"/>
      <c r="P834" s="16"/>
      <c r="Q834" s="2">
        <f t="shared" si="49"/>
        <v>0</v>
      </c>
    </row>
    <row r="835" spans="12:17" x14ac:dyDescent="0.3">
      <c r="L835" s="21"/>
      <c r="M835" s="14"/>
      <c r="N835" s="26"/>
      <c r="O835" s="24"/>
      <c r="P835" s="16"/>
      <c r="Q835" s="2">
        <f t="shared" si="49"/>
        <v>0</v>
      </c>
    </row>
    <row r="836" spans="12:17" x14ac:dyDescent="0.3">
      <c r="L836" s="21"/>
      <c r="M836" s="14"/>
      <c r="N836" s="26"/>
      <c r="O836" s="24"/>
      <c r="P836" s="16"/>
      <c r="Q836" s="2">
        <f t="shared" si="49"/>
        <v>0</v>
      </c>
    </row>
    <row r="837" spans="12:17" x14ac:dyDescent="0.3">
      <c r="L837" s="21"/>
      <c r="M837" s="14"/>
      <c r="N837" s="26"/>
      <c r="O837" s="24"/>
      <c r="P837" s="16"/>
      <c r="Q837" s="2">
        <f t="shared" si="49"/>
        <v>0</v>
      </c>
    </row>
    <row r="838" spans="12:17" x14ac:dyDescent="0.3">
      <c r="L838" s="21"/>
      <c r="M838" s="14"/>
      <c r="N838" s="26"/>
      <c r="O838" s="24"/>
      <c r="P838" s="16"/>
      <c r="Q838" s="2">
        <f t="shared" si="49"/>
        <v>0</v>
      </c>
    </row>
    <row r="839" spans="12:17" x14ac:dyDescent="0.3">
      <c r="L839" s="21"/>
      <c r="M839" s="14"/>
      <c r="N839" s="26"/>
      <c r="O839" s="24"/>
      <c r="P839" s="16"/>
      <c r="Q839" s="2">
        <f t="shared" si="49"/>
        <v>0</v>
      </c>
    </row>
    <row r="840" spans="12:17" x14ac:dyDescent="0.3">
      <c r="L840" s="21"/>
      <c r="M840" s="14"/>
      <c r="N840" s="26"/>
      <c r="O840" s="24"/>
      <c r="P840" s="16"/>
      <c r="Q840" s="2">
        <f t="shared" si="49"/>
        <v>0</v>
      </c>
    </row>
    <row r="841" spans="12:17" x14ac:dyDescent="0.3">
      <c r="L841" s="21"/>
      <c r="M841" s="14"/>
      <c r="N841" s="26"/>
      <c r="O841" s="24"/>
      <c r="P841" s="16"/>
      <c r="Q841" s="2">
        <f t="shared" si="49"/>
        <v>0</v>
      </c>
    </row>
    <row r="842" spans="12:17" x14ac:dyDescent="0.3">
      <c r="L842" s="21"/>
      <c r="M842" s="14"/>
      <c r="N842" s="26"/>
      <c r="O842" s="24"/>
      <c r="P842" s="16"/>
      <c r="Q842" s="2">
        <f t="shared" si="49"/>
        <v>0</v>
      </c>
    </row>
    <row r="843" spans="12:17" x14ac:dyDescent="0.3">
      <c r="L843" s="21"/>
      <c r="M843" s="14"/>
      <c r="N843" s="26"/>
      <c r="O843" s="24"/>
      <c r="P843" s="16"/>
      <c r="Q843" s="2">
        <f t="shared" si="49"/>
        <v>0</v>
      </c>
    </row>
    <row r="844" spans="12:17" x14ac:dyDescent="0.3">
      <c r="L844" s="21"/>
      <c r="M844" s="14"/>
      <c r="N844" s="26"/>
      <c r="O844" s="24"/>
      <c r="P844" s="16"/>
      <c r="Q844" s="2">
        <f t="shared" si="49"/>
        <v>0</v>
      </c>
    </row>
    <row r="845" spans="12:17" x14ac:dyDescent="0.3">
      <c r="L845" s="21"/>
      <c r="M845" s="14"/>
      <c r="N845" s="26"/>
      <c r="O845" s="24"/>
      <c r="P845" s="16"/>
      <c r="Q845" s="2">
        <f t="shared" si="49"/>
        <v>0</v>
      </c>
    </row>
    <row r="846" spans="12:17" x14ac:dyDescent="0.3">
      <c r="L846" s="21"/>
      <c r="M846" s="14"/>
      <c r="N846" s="26"/>
      <c r="O846" s="24"/>
      <c r="P846" s="16"/>
      <c r="Q846" s="2">
        <f t="shared" si="49"/>
        <v>0</v>
      </c>
    </row>
    <row r="847" spans="12:17" x14ac:dyDescent="0.3">
      <c r="L847" s="21"/>
      <c r="M847" s="14"/>
      <c r="N847" s="26"/>
      <c r="O847" s="24"/>
      <c r="P847" s="16"/>
      <c r="Q847" s="2">
        <f t="shared" si="49"/>
        <v>0</v>
      </c>
    </row>
    <row r="848" spans="12:17" x14ac:dyDescent="0.3">
      <c r="L848" s="21"/>
      <c r="M848" s="14"/>
      <c r="N848" s="26"/>
      <c r="O848" s="24"/>
      <c r="P848" s="16"/>
      <c r="Q848" s="2">
        <f t="shared" si="49"/>
        <v>0</v>
      </c>
    </row>
    <row r="849" spans="12:17" x14ac:dyDescent="0.3">
      <c r="L849" s="21"/>
      <c r="M849" s="14"/>
      <c r="N849" s="26"/>
      <c r="O849" s="24"/>
      <c r="P849" s="16"/>
      <c r="Q849" s="2">
        <f t="shared" si="49"/>
        <v>0</v>
      </c>
    </row>
    <row r="850" spans="12:17" x14ac:dyDescent="0.3">
      <c r="L850" s="21"/>
      <c r="M850" s="14"/>
      <c r="N850" s="26"/>
      <c r="O850" s="24"/>
      <c r="P850" s="16"/>
      <c r="Q850" s="2">
        <f t="shared" si="49"/>
        <v>0</v>
      </c>
    </row>
    <row r="851" spans="12:17" x14ac:dyDescent="0.3">
      <c r="L851" s="21"/>
      <c r="M851" s="14"/>
      <c r="N851" s="26"/>
      <c r="O851" s="24"/>
      <c r="P851" s="16"/>
      <c r="Q851" s="2">
        <f t="shared" si="49"/>
        <v>0</v>
      </c>
    </row>
    <row r="852" spans="12:17" x14ac:dyDescent="0.3">
      <c r="L852" s="21"/>
      <c r="M852" s="14"/>
      <c r="N852" s="26"/>
      <c r="O852" s="24"/>
      <c r="P852" s="16"/>
      <c r="Q852" s="2">
        <f t="shared" ref="Q852:Q915" si="50">C852-M852+P852</f>
        <v>0</v>
      </c>
    </row>
    <row r="853" spans="12:17" x14ac:dyDescent="0.3">
      <c r="L853" s="21"/>
      <c r="M853" s="14"/>
      <c r="N853" s="26"/>
      <c r="O853" s="24"/>
      <c r="P853" s="16"/>
      <c r="Q853" s="2">
        <f t="shared" si="50"/>
        <v>0</v>
      </c>
    </row>
    <row r="854" spans="12:17" x14ac:dyDescent="0.3">
      <c r="L854" s="21"/>
      <c r="M854" s="14"/>
      <c r="N854" s="26"/>
      <c r="O854" s="24"/>
      <c r="P854" s="16"/>
      <c r="Q854" s="2">
        <f t="shared" si="50"/>
        <v>0</v>
      </c>
    </row>
    <row r="855" spans="12:17" x14ac:dyDescent="0.3">
      <c r="L855" s="21"/>
      <c r="M855" s="14"/>
      <c r="N855" s="26"/>
      <c r="O855" s="24"/>
      <c r="P855" s="16"/>
      <c r="Q855" s="2">
        <f t="shared" si="50"/>
        <v>0</v>
      </c>
    </row>
    <row r="856" spans="12:17" x14ac:dyDescent="0.3">
      <c r="L856" s="21"/>
      <c r="M856" s="14"/>
      <c r="N856" s="26"/>
      <c r="O856" s="24"/>
      <c r="P856" s="16"/>
      <c r="Q856" s="2">
        <f t="shared" si="50"/>
        <v>0</v>
      </c>
    </row>
    <row r="857" spans="12:17" x14ac:dyDescent="0.3">
      <c r="L857" s="21"/>
      <c r="M857" s="14"/>
      <c r="N857" s="26"/>
      <c r="O857" s="24"/>
      <c r="P857" s="16"/>
      <c r="Q857" s="2">
        <f t="shared" si="50"/>
        <v>0</v>
      </c>
    </row>
    <row r="858" spans="12:17" x14ac:dyDescent="0.3">
      <c r="L858" s="21"/>
      <c r="M858" s="14"/>
      <c r="N858" s="26"/>
      <c r="O858" s="24"/>
      <c r="P858" s="16"/>
      <c r="Q858" s="2">
        <f t="shared" si="50"/>
        <v>0</v>
      </c>
    </row>
    <row r="859" spans="12:17" x14ac:dyDescent="0.3">
      <c r="L859" s="21"/>
      <c r="M859" s="14"/>
      <c r="N859" s="26"/>
      <c r="O859" s="24"/>
      <c r="P859" s="16"/>
      <c r="Q859" s="2">
        <f t="shared" si="50"/>
        <v>0</v>
      </c>
    </row>
    <row r="860" spans="12:17" x14ac:dyDescent="0.3">
      <c r="L860" s="21"/>
      <c r="M860" s="14"/>
      <c r="N860" s="26"/>
      <c r="O860" s="24"/>
      <c r="P860" s="16"/>
      <c r="Q860" s="2">
        <f t="shared" si="50"/>
        <v>0</v>
      </c>
    </row>
    <row r="861" spans="12:17" x14ac:dyDescent="0.3">
      <c r="L861" s="21"/>
      <c r="M861" s="14"/>
      <c r="N861" s="26"/>
      <c r="O861" s="24"/>
      <c r="P861" s="16"/>
      <c r="Q861" s="2">
        <f t="shared" si="50"/>
        <v>0</v>
      </c>
    </row>
    <row r="862" spans="12:17" x14ac:dyDescent="0.3">
      <c r="L862" s="21"/>
      <c r="M862" s="14"/>
      <c r="N862" s="26"/>
      <c r="O862" s="24"/>
      <c r="P862" s="16"/>
      <c r="Q862" s="2">
        <f t="shared" si="50"/>
        <v>0</v>
      </c>
    </row>
    <row r="863" spans="12:17" x14ac:dyDescent="0.3">
      <c r="L863" s="21"/>
      <c r="M863" s="14"/>
      <c r="N863" s="26"/>
      <c r="O863" s="24"/>
      <c r="P863" s="16"/>
      <c r="Q863" s="2">
        <f t="shared" si="50"/>
        <v>0</v>
      </c>
    </row>
    <row r="864" spans="12:17" x14ac:dyDescent="0.3">
      <c r="L864" s="21"/>
      <c r="M864" s="14"/>
      <c r="N864" s="26"/>
      <c r="O864" s="24"/>
      <c r="P864" s="16"/>
      <c r="Q864" s="2">
        <f t="shared" si="50"/>
        <v>0</v>
      </c>
    </row>
    <row r="865" spans="12:17" x14ac:dyDescent="0.3">
      <c r="L865" s="21"/>
      <c r="M865" s="14"/>
      <c r="N865" s="26"/>
      <c r="O865" s="24"/>
      <c r="P865" s="16"/>
      <c r="Q865" s="2">
        <f t="shared" si="50"/>
        <v>0</v>
      </c>
    </row>
    <row r="866" spans="12:17" x14ac:dyDescent="0.3">
      <c r="L866" s="21"/>
      <c r="M866" s="14"/>
      <c r="N866" s="26"/>
      <c r="O866" s="24"/>
      <c r="P866" s="16"/>
      <c r="Q866" s="2">
        <f t="shared" si="50"/>
        <v>0</v>
      </c>
    </row>
    <row r="867" spans="12:17" x14ac:dyDescent="0.3">
      <c r="L867" s="21"/>
      <c r="M867" s="14"/>
      <c r="N867" s="26"/>
      <c r="O867" s="24"/>
      <c r="P867" s="16"/>
      <c r="Q867" s="2">
        <f t="shared" si="50"/>
        <v>0</v>
      </c>
    </row>
    <row r="868" spans="12:17" x14ac:dyDescent="0.3">
      <c r="L868" s="21"/>
      <c r="M868" s="14"/>
      <c r="N868" s="26"/>
      <c r="O868" s="24"/>
      <c r="P868" s="16"/>
      <c r="Q868" s="2">
        <f t="shared" si="50"/>
        <v>0</v>
      </c>
    </row>
    <row r="869" spans="12:17" x14ac:dyDescent="0.3">
      <c r="L869" s="21"/>
      <c r="M869" s="14"/>
      <c r="N869" s="26"/>
      <c r="O869" s="24"/>
      <c r="P869" s="16"/>
      <c r="Q869" s="2">
        <f t="shared" si="50"/>
        <v>0</v>
      </c>
    </row>
    <row r="870" spans="12:17" x14ac:dyDescent="0.3">
      <c r="L870" s="21"/>
      <c r="M870" s="14"/>
      <c r="N870" s="26"/>
      <c r="O870" s="24"/>
      <c r="P870" s="16"/>
      <c r="Q870" s="2">
        <f t="shared" si="50"/>
        <v>0</v>
      </c>
    </row>
    <row r="871" spans="12:17" x14ac:dyDescent="0.3">
      <c r="L871" s="21"/>
      <c r="M871" s="14"/>
      <c r="N871" s="26"/>
      <c r="O871" s="24"/>
      <c r="P871" s="16"/>
      <c r="Q871" s="2">
        <f t="shared" si="50"/>
        <v>0</v>
      </c>
    </row>
    <row r="872" spans="12:17" x14ac:dyDescent="0.3">
      <c r="L872" s="21"/>
      <c r="M872" s="14"/>
      <c r="N872" s="26"/>
      <c r="O872" s="24"/>
      <c r="P872" s="16"/>
      <c r="Q872" s="2">
        <f t="shared" si="50"/>
        <v>0</v>
      </c>
    </row>
    <row r="873" spans="12:17" x14ac:dyDescent="0.3">
      <c r="L873" s="21"/>
      <c r="M873" s="14"/>
      <c r="N873" s="26"/>
      <c r="O873" s="24"/>
      <c r="P873" s="16"/>
      <c r="Q873" s="2">
        <f t="shared" si="50"/>
        <v>0</v>
      </c>
    </row>
    <row r="874" spans="12:17" x14ac:dyDescent="0.3">
      <c r="L874" s="21"/>
      <c r="M874" s="14"/>
      <c r="N874" s="26"/>
      <c r="O874" s="24"/>
      <c r="P874" s="16"/>
      <c r="Q874" s="2">
        <f t="shared" si="50"/>
        <v>0</v>
      </c>
    </row>
    <row r="875" spans="12:17" x14ac:dyDescent="0.3">
      <c r="L875" s="21"/>
      <c r="M875" s="14"/>
      <c r="N875" s="26"/>
      <c r="O875" s="24"/>
      <c r="P875" s="16"/>
      <c r="Q875" s="2">
        <f t="shared" si="50"/>
        <v>0</v>
      </c>
    </row>
    <row r="876" spans="12:17" x14ac:dyDescent="0.3">
      <c r="L876" s="21"/>
      <c r="M876" s="14"/>
      <c r="N876" s="26"/>
      <c r="O876" s="24"/>
      <c r="P876" s="16"/>
      <c r="Q876" s="2">
        <f t="shared" si="50"/>
        <v>0</v>
      </c>
    </row>
    <row r="877" spans="12:17" x14ac:dyDescent="0.3">
      <c r="L877" s="21"/>
      <c r="M877" s="14"/>
      <c r="N877" s="26"/>
      <c r="O877" s="24"/>
      <c r="P877" s="16"/>
      <c r="Q877" s="2">
        <f t="shared" si="50"/>
        <v>0</v>
      </c>
    </row>
    <row r="878" spans="12:17" x14ac:dyDescent="0.3">
      <c r="L878" s="21"/>
      <c r="M878" s="14"/>
      <c r="N878" s="26"/>
      <c r="O878" s="24"/>
      <c r="P878" s="16"/>
      <c r="Q878" s="2">
        <f t="shared" si="50"/>
        <v>0</v>
      </c>
    </row>
    <row r="879" spans="12:17" x14ac:dyDescent="0.3">
      <c r="L879" s="21"/>
      <c r="M879" s="14"/>
      <c r="N879" s="26"/>
      <c r="O879" s="24"/>
      <c r="P879" s="16"/>
      <c r="Q879" s="2">
        <f t="shared" si="50"/>
        <v>0</v>
      </c>
    </row>
    <row r="880" spans="12:17" x14ac:dyDescent="0.3">
      <c r="L880" s="21"/>
      <c r="M880" s="14"/>
      <c r="N880" s="26"/>
      <c r="O880" s="24"/>
      <c r="P880" s="16"/>
      <c r="Q880" s="2">
        <f t="shared" si="50"/>
        <v>0</v>
      </c>
    </row>
    <row r="881" spans="12:17" x14ac:dyDescent="0.3">
      <c r="L881" s="21"/>
      <c r="M881" s="14"/>
      <c r="N881" s="26"/>
      <c r="O881" s="24"/>
      <c r="P881" s="16"/>
      <c r="Q881" s="2">
        <f t="shared" si="50"/>
        <v>0</v>
      </c>
    </row>
    <row r="882" spans="12:17" x14ac:dyDescent="0.3">
      <c r="L882" s="21"/>
      <c r="M882" s="14"/>
      <c r="N882" s="26"/>
      <c r="O882" s="24"/>
      <c r="P882" s="16"/>
      <c r="Q882" s="2">
        <f t="shared" si="50"/>
        <v>0</v>
      </c>
    </row>
    <row r="883" spans="12:17" x14ac:dyDescent="0.3">
      <c r="L883" s="21"/>
      <c r="M883" s="14"/>
      <c r="N883" s="26"/>
      <c r="O883" s="24"/>
      <c r="P883" s="16"/>
      <c r="Q883" s="2">
        <f t="shared" si="50"/>
        <v>0</v>
      </c>
    </row>
    <row r="884" spans="12:17" x14ac:dyDescent="0.3">
      <c r="L884" s="21"/>
      <c r="M884" s="14"/>
      <c r="N884" s="26"/>
      <c r="O884" s="24"/>
      <c r="P884" s="16"/>
      <c r="Q884" s="2">
        <f t="shared" si="50"/>
        <v>0</v>
      </c>
    </row>
    <row r="885" spans="12:17" x14ac:dyDescent="0.3">
      <c r="L885" s="21"/>
      <c r="M885" s="14"/>
      <c r="N885" s="26"/>
      <c r="O885" s="24"/>
      <c r="P885" s="16"/>
      <c r="Q885" s="2">
        <f t="shared" si="50"/>
        <v>0</v>
      </c>
    </row>
    <row r="886" spans="12:17" x14ac:dyDescent="0.3">
      <c r="L886" s="21"/>
      <c r="M886" s="14"/>
      <c r="N886" s="26"/>
      <c r="O886" s="24"/>
      <c r="P886" s="16"/>
      <c r="Q886" s="2">
        <f t="shared" si="50"/>
        <v>0</v>
      </c>
    </row>
    <row r="887" spans="12:17" x14ac:dyDescent="0.3">
      <c r="L887" s="21"/>
      <c r="M887" s="14"/>
      <c r="N887" s="26"/>
      <c r="O887" s="24"/>
      <c r="P887" s="16"/>
      <c r="Q887" s="2">
        <f t="shared" si="50"/>
        <v>0</v>
      </c>
    </row>
    <row r="888" spans="12:17" x14ac:dyDescent="0.3">
      <c r="L888" s="21"/>
      <c r="M888" s="14"/>
      <c r="N888" s="26"/>
      <c r="O888" s="24"/>
      <c r="P888" s="16"/>
      <c r="Q888" s="2">
        <f t="shared" si="50"/>
        <v>0</v>
      </c>
    </row>
    <row r="889" spans="12:17" x14ac:dyDescent="0.3">
      <c r="L889" s="21"/>
      <c r="M889" s="14"/>
      <c r="N889" s="26"/>
      <c r="O889" s="24"/>
      <c r="P889" s="16"/>
      <c r="Q889" s="2">
        <f t="shared" si="50"/>
        <v>0</v>
      </c>
    </row>
    <row r="890" spans="12:17" x14ac:dyDescent="0.3">
      <c r="L890" s="21"/>
      <c r="M890" s="14"/>
      <c r="N890" s="26"/>
      <c r="O890" s="24"/>
      <c r="P890" s="16"/>
      <c r="Q890" s="2">
        <f t="shared" si="50"/>
        <v>0</v>
      </c>
    </row>
    <row r="891" spans="12:17" x14ac:dyDescent="0.3">
      <c r="L891" s="21"/>
      <c r="M891" s="14"/>
      <c r="N891" s="26"/>
      <c r="O891" s="24"/>
      <c r="P891" s="16"/>
      <c r="Q891" s="2">
        <f t="shared" si="50"/>
        <v>0</v>
      </c>
    </row>
    <row r="892" spans="12:17" x14ac:dyDescent="0.3">
      <c r="L892" s="21"/>
      <c r="M892" s="14"/>
      <c r="N892" s="26"/>
      <c r="O892" s="24"/>
      <c r="P892" s="16"/>
      <c r="Q892" s="2">
        <f t="shared" si="50"/>
        <v>0</v>
      </c>
    </row>
    <row r="893" spans="12:17" x14ac:dyDescent="0.3">
      <c r="L893" s="21"/>
      <c r="M893" s="14"/>
      <c r="N893" s="26"/>
      <c r="O893" s="24"/>
      <c r="P893" s="16"/>
      <c r="Q893" s="2">
        <f t="shared" si="50"/>
        <v>0</v>
      </c>
    </row>
    <row r="894" spans="12:17" x14ac:dyDescent="0.3">
      <c r="L894" s="21"/>
      <c r="M894" s="14"/>
      <c r="N894" s="26"/>
      <c r="O894" s="24"/>
      <c r="P894" s="16"/>
      <c r="Q894" s="2">
        <f t="shared" si="50"/>
        <v>0</v>
      </c>
    </row>
    <row r="895" spans="12:17" x14ac:dyDescent="0.3">
      <c r="L895" s="21"/>
      <c r="M895" s="14"/>
      <c r="N895" s="26"/>
      <c r="O895" s="24"/>
      <c r="P895" s="16"/>
      <c r="Q895" s="2">
        <f t="shared" si="50"/>
        <v>0</v>
      </c>
    </row>
    <row r="896" spans="12:17" x14ac:dyDescent="0.3">
      <c r="L896" s="21"/>
      <c r="M896" s="14"/>
      <c r="N896" s="26"/>
      <c r="O896" s="24"/>
      <c r="P896" s="16"/>
      <c r="Q896" s="2">
        <f t="shared" si="50"/>
        <v>0</v>
      </c>
    </row>
    <row r="897" spans="12:17" x14ac:dyDescent="0.3">
      <c r="L897" s="21"/>
      <c r="M897" s="14"/>
      <c r="N897" s="26"/>
      <c r="O897" s="24"/>
      <c r="P897" s="16"/>
      <c r="Q897" s="2">
        <f t="shared" si="50"/>
        <v>0</v>
      </c>
    </row>
    <row r="898" spans="12:17" x14ac:dyDescent="0.3">
      <c r="L898" s="21"/>
      <c r="M898" s="14"/>
      <c r="N898" s="26"/>
      <c r="O898" s="24"/>
      <c r="P898" s="16"/>
      <c r="Q898" s="2">
        <f t="shared" si="50"/>
        <v>0</v>
      </c>
    </row>
    <row r="899" spans="12:17" x14ac:dyDescent="0.3">
      <c r="L899" s="21"/>
      <c r="M899" s="14"/>
      <c r="N899" s="26"/>
      <c r="O899" s="24"/>
      <c r="P899" s="16"/>
      <c r="Q899" s="2">
        <f t="shared" si="50"/>
        <v>0</v>
      </c>
    </row>
    <row r="900" spans="12:17" x14ac:dyDescent="0.3">
      <c r="L900" s="21"/>
      <c r="M900" s="14"/>
      <c r="N900" s="26"/>
      <c r="O900" s="24"/>
      <c r="P900" s="16"/>
      <c r="Q900" s="2">
        <f t="shared" si="50"/>
        <v>0</v>
      </c>
    </row>
    <row r="901" spans="12:17" x14ac:dyDescent="0.3">
      <c r="L901" s="21"/>
      <c r="M901" s="14"/>
      <c r="N901" s="26"/>
      <c r="O901" s="24"/>
      <c r="P901" s="16"/>
      <c r="Q901" s="2">
        <f t="shared" si="50"/>
        <v>0</v>
      </c>
    </row>
    <row r="902" spans="12:17" x14ac:dyDescent="0.3">
      <c r="L902" s="21"/>
      <c r="M902" s="14"/>
      <c r="N902" s="26"/>
      <c r="O902" s="24"/>
      <c r="P902" s="16"/>
      <c r="Q902" s="2">
        <f t="shared" si="50"/>
        <v>0</v>
      </c>
    </row>
    <row r="903" spans="12:17" x14ac:dyDescent="0.3">
      <c r="L903" s="21"/>
      <c r="M903" s="14"/>
      <c r="N903" s="26"/>
      <c r="O903" s="24"/>
      <c r="P903" s="16"/>
      <c r="Q903" s="2">
        <f t="shared" si="50"/>
        <v>0</v>
      </c>
    </row>
    <row r="904" spans="12:17" x14ac:dyDescent="0.3">
      <c r="L904" s="21"/>
      <c r="M904" s="14"/>
      <c r="N904" s="26"/>
      <c r="O904" s="24"/>
      <c r="P904" s="16"/>
      <c r="Q904" s="2">
        <f t="shared" si="50"/>
        <v>0</v>
      </c>
    </row>
    <row r="905" spans="12:17" x14ac:dyDescent="0.3">
      <c r="L905" s="21"/>
      <c r="M905" s="14"/>
      <c r="N905" s="26"/>
      <c r="O905" s="24"/>
      <c r="P905" s="16"/>
      <c r="Q905" s="2">
        <f t="shared" si="50"/>
        <v>0</v>
      </c>
    </row>
    <row r="906" spans="12:17" x14ac:dyDescent="0.3">
      <c r="L906" s="21"/>
      <c r="M906" s="14"/>
      <c r="N906" s="26"/>
      <c r="O906" s="24"/>
      <c r="P906" s="16"/>
      <c r="Q906" s="2">
        <f t="shared" si="50"/>
        <v>0</v>
      </c>
    </row>
    <row r="907" spans="12:17" x14ac:dyDescent="0.3">
      <c r="L907" s="21"/>
      <c r="M907" s="14"/>
      <c r="N907" s="26"/>
      <c r="O907" s="24"/>
      <c r="P907" s="16"/>
      <c r="Q907" s="2">
        <f t="shared" si="50"/>
        <v>0</v>
      </c>
    </row>
    <row r="908" spans="12:17" x14ac:dyDescent="0.3">
      <c r="L908" s="21"/>
      <c r="M908" s="14"/>
      <c r="N908" s="26"/>
      <c r="O908" s="24"/>
      <c r="P908" s="16"/>
      <c r="Q908" s="2">
        <f t="shared" si="50"/>
        <v>0</v>
      </c>
    </row>
    <row r="909" spans="12:17" x14ac:dyDescent="0.3">
      <c r="L909" s="21"/>
      <c r="M909" s="14"/>
      <c r="N909" s="26"/>
      <c r="O909" s="24"/>
      <c r="P909" s="16"/>
      <c r="Q909" s="2">
        <f t="shared" si="50"/>
        <v>0</v>
      </c>
    </row>
    <row r="910" spans="12:17" x14ac:dyDescent="0.3">
      <c r="L910" s="21"/>
      <c r="M910" s="14"/>
      <c r="N910" s="26"/>
      <c r="O910" s="24"/>
      <c r="P910" s="16"/>
      <c r="Q910" s="2">
        <f t="shared" si="50"/>
        <v>0</v>
      </c>
    </row>
    <row r="911" spans="12:17" x14ac:dyDescent="0.3">
      <c r="L911" s="21"/>
      <c r="M911" s="14"/>
      <c r="N911" s="26"/>
      <c r="O911" s="24"/>
      <c r="P911" s="16"/>
      <c r="Q911" s="2">
        <f t="shared" si="50"/>
        <v>0</v>
      </c>
    </row>
    <row r="912" spans="12:17" x14ac:dyDescent="0.3">
      <c r="L912" s="21"/>
      <c r="M912" s="14"/>
      <c r="N912" s="26"/>
      <c r="O912" s="24"/>
      <c r="P912" s="16"/>
      <c r="Q912" s="2">
        <f t="shared" si="50"/>
        <v>0</v>
      </c>
    </row>
    <row r="913" spans="12:17" x14ac:dyDescent="0.3">
      <c r="L913" s="21"/>
      <c r="M913" s="14"/>
      <c r="N913" s="26"/>
      <c r="O913" s="24"/>
      <c r="P913" s="16"/>
      <c r="Q913" s="2">
        <f t="shared" si="50"/>
        <v>0</v>
      </c>
    </row>
    <row r="914" spans="12:17" x14ac:dyDescent="0.3">
      <c r="L914" s="21"/>
      <c r="M914" s="14"/>
      <c r="N914" s="26"/>
      <c r="O914" s="24"/>
      <c r="P914" s="16"/>
      <c r="Q914" s="2">
        <f t="shared" si="50"/>
        <v>0</v>
      </c>
    </row>
    <row r="915" spans="12:17" x14ac:dyDescent="0.3">
      <c r="L915" s="21"/>
      <c r="M915" s="14"/>
      <c r="N915" s="26"/>
      <c r="O915" s="24"/>
      <c r="P915" s="16"/>
      <c r="Q915" s="2">
        <f t="shared" si="50"/>
        <v>0</v>
      </c>
    </row>
    <row r="916" spans="12:17" x14ac:dyDescent="0.3">
      <c r="L916" s="21"/>
      <c r="M916" s="14"/>
      <c r="N916" s="26"/>
      <c r="O916" s="24"/>
      <c r="P916" s="16"/>
      <c r="Q916" s="2">
        <f t="shared" ref="Q916:Q979" si="51">C916-M916+P916</f>
        <v>0</v>
      </c>
    </row>
    <row r="917" spans="12:17" x14ac:dyDescent="0.3">
      <c r="L917" s="21"/>
      <c r="M917" s="14"/>
      <c r="N917" s="26"/>
      <c r="O917" s="24"/>
      <c r="P917" s="16"/>
      <c r="Q917" s="2">
        <f t="shared" si="51"/>
        <v>0</v>
      </c>
    </row>
    <row r="918" spans="12:17" x14ac:dyDescent="0.3">
      <c r="L918" s="21"/>
      <c r="M918" s="14"/>
      <c r="N918" s="26"/>
      <c r="O918" s="24"/>
      <c r="P918" s="16"/>
      <c r="Q918" s="2">
        <f t="shared" si="51"/>
        <v>0</v>
      </c>
    </row>
    <row r="919" spans="12:17" x14ac:dyDescent="0.3">
      <c r="L919" s="21"/>
      <c r="M919" s="14"/>
      <c r="N919" s="26"/>
      <c r="O919" s="24"/>
      <c r="P919" s="16"/>
      <c r="Q919" s="2">
        <f t="shared" si="51"/>
        <v>0</v>
      </c>
    </row>
    <row r="920" spans="12:17" x14ac:dyDescent="0.3">
      <c r="L920" s="21"/>
      <c r="M920" s="14"/>
      <c r="N920" s="26"/>
      <c r="O920" s="24"/>
      <c r="P920" s="16"/>
      <c r="Q920" s="2">
        <f t="shared" si="51"/>
        <v>0</v>
      </c>
    </row>
    <row r="921" spans="12:17" x14ac:dyDescent="0.3">
      <c r="L921" s="21"/>
      <c r="M921" s="14"/>
      <c r="N921" s="26"/>
      <c r="O921" s="24"/>
      <c r="P921" s="16"/>
      <c r="Q921" s="2">
        <f t="shared" si="51"/>
        <v>0</v>
      </c>
    </row>
    <row r="922" spans="12:17" x14ac:dyDescent="0.3">
      <c r="L922" s="21"/>
      <c r="M922" s="14"/>
      <c r="N922" s="26"/>
      <c r="O922" s="24"/>
      <c r="P922" s="16"/>
      <c r="Q922" s="2">
        <f t="shared" si="51"/>
        <v>0</v>
      </c>
    </row>
    <row r="923" spans="12:17" x14ac:dyDescent="0.3">
      <c r="L923" s="21"/>
      <c r="M923" s="14"/>
      <c r="N923" s="26"/>
      <c r="O923" s="24"/>
      <c r="P923" s="16"/>
      <c r="Q923" s="2">
        <f t="shared" si="51"/>
        <v>0</v>
      </c>
    </row>
    <row r="924" spans="12:17" x14ac:dyDescent="0.3">
      <c r="L924" s="21"/>
      <c r="M924" s="14"/>
      <c r="N924" s="26"/>
      <c r="O924" s="24"/>
      <c r="P924" s="16"/>
      <c r="Q924" s="2">
        <f t="shared" si="51"/>
        <v>0</v>
      </c>
    </row>
    <row r="925" spans="12:17" x14ac:dyDescent="0.3">
      <c r="L925" s="21"/>
      <c r="M925" s="14"/>
      <c r="N925" s="26"/>
      <c r="O925" s="24"/>
      <c r="P925" s="16"/>
      <c r="Q925" s="2">
        <f t="shared" si="51"/>
        <v>0</v>
      </c>
    </row>
    <row r="926" spans="12:17" x14ac:dyDescent="0.3">
      <c r="L926" s="21"/>
      <c r="M926" s="14"/>
      <c r="N926" s="26"/>
      <c r="O926" s="24"/>
      <c r="P926" s="16"/>
      <c r="Q926" s="2">
        <f t="shared" si="51"/>
        <v>0</v>
      </c>
    </row>
    <row r="927" spans="12:17" x14ac:dyDescent="0.3">
      <c r="L927" s="21"/>
      <c r="M927" s="14"/>
      <c r="N927" s="26"/>
      <c r="O927" s="24"/>
      <c r="P927" s="16"/>
      <c r="Q927" s="2">
        <f t="shared" si="51"/>
        <v>0</v>
      </c>
    </row>
    <row r="928" spans="12:17" x14ac:dyDescent="0.3">
      <c r="L928" s="21"/>
      <c r="M928" s="14"/>
      <c r="N928" s="26"/>
      <c r="O928" s="24"/>
      <c r="P928" s="16"/>
      <c r="Q928" s="2">
        <f t="shared" si="51"/>
        <v>0</v>
      </c>
    </row>
    <row r="929" spans="12:17" x14ac:dyDescent="0.3">
      <c r="L929" s="21"/>
      <c r="M929" s="14"/>
      <c r="N929" s="26"/>
      <c r="O929" s="24"/>
      <c r="P929" s="16"/>
      <c r="Q929" s="2">
        <f t="shared" si="51"/>
        <v>0</v>
      </c>
    </row>
    <row r="930" spans="12:17" x14ac:dyDescent="0.3">
      <c r="L930" s="21"/>
      <c r="M930" s="14"/>
      <c r="N930" s="26"/>
      <c r="O930" s="24"/>
      <c r="P930" s="16"/>
      <c r="Q930" s="2">
        <f t="shared" si="51"/>
        <v>0</v>
      </c>
    </row>
    <row r="931" spans="12:17" x14ac:dyDescent="0.3">
      <c r="L931" s="21"/>
      <c r="M931" s="14"/>
      <c r="N931" s="26"/>
      <c r="O931" s="24"/>
      <c r="P931" s="16"/>
      <c r="Q931" s="2">
        <f t="shared" si="51"/>
        <v>0</v>
      </c>
    </row>
    <row r="932" spans="12:17" x14ac:dyDescent="0.3">
      <c r="L932" s="21"/>
      <c r="M932" s="14"/>
      <c r="N932" s="26"/>
      <c r="O932" s="24"/>
      <c r="P932" s="16"/>
      <c r="Q932" s="2">
        <f t="shared" si="51"/>
        <v>0</v>
      </c>
    </row>
    <row r="933" spans="12:17" x14ac:dyDescent="0.3">
      <c r="L933" s="21"/>
      <c r="M933" s="14"/>
      <c r="N933" s="26"/>
      <c r="O933" s="24"/>
      <c r="P933" s="16"/>
      <c r="Q933" s="2">
        <f t="shared" si="51"/>
        <v>0</v>
      </c>
    </row>
    <row r="934" spans="12:17" x14ac:dyDescent="0.3">
      <c r="L934" s="21"/>
      <c r="M934" s="14"/>
      <c r="N934" s="26"/>
      <c r="O934" s="24"/>
      <c r="P934" s="16"/>
      <c r="Q934" s="2">
        <f t="shared" si="51"/>
        <v>0</v>
      </c>
    </row>
    <row r="935" spans="12:17" x14ac:dyDescent="0.3">
      <c r="L935" s="21"/>
      <c r="M935" s="14"/>
      <c r="N935" s="26"/>
      <c r="O935" s="24"/>
      <c r="P935" s="16"/>
      <c r="Q935" s="2">
        <f t="shared" si="51"/>
        <v>0</v>
      </c>
    </row>
    <row r="936" spans="12:17" x14ac:dyDescent="0.3">
      <c r="L936" s="21"/>
      <c r="M936" s="14"/>
      <c r="N936" s="26"/>
      <c r="O936" s="24"/>
      <c r="P936" s="16"/>
      <c r="Q936" s="2">
        <f t="shared" si="51"/>
        <v>0</v>
      </c>
    </row>
    <row r="937" spans="12:17" x14ac:dyDescent="0.3">
      <c r="L937" s="21"/>
      <c r="M937" s="14"/>
      <c r="N937" s="26"/>
      <c r="O937" s="24"/>
      <c r="P937" s="16"/>
      <c r="Q937" s="2">
        <f t="shared" si="51"/>
        <v>0</v>
      </c>
    </row>
    <row r="938" spans="12:17" x14ac:dyDescent="0.3">
      <c r="L938" s="21"/>
      <c r="M938" s="14"/>
      <c r="N938" s="26"/>
      <c r="O938" s="24"/>
      <c r="P938" s="16"/>
      <c r="Q938" s="2">
        <f t="shared" si="51"/>
        <v>0</v>
      </c>
    </row>
    <row r="939" spans="12:17" x14ac:dyDescent="0.3">
      <c r="L939" s="21"/>
      <c r="M939" s="14"/>
      <c r="N939" s="26"/>
      <c r="O939" s="24"/>
      <c r="P939" s="16"/>
      <c r="Q939" s="2">
        <f t="shared" si="51"/>
        <v>0</v>
      </c>
    </row>
    <row r="940" spans="12:17" x14ac:dyDescent="0.3">
      <c r="L940" s="21"/>
      <c r="M940" s="14"/>
      <c r="N940" s="26"/>
      <c r="O940" s="24"/>
      <c r="P940" s="16"/>
      <c r="Q940" s="2">
        <f t="shared" si="51"/>
        <v>0</v>
      </c>
    </row>
    <row r="941" spans="12:17" x14ac:dyDescent="0.3">
      <c r="L941" s="21"/>
      <c r="M941" s="14"/>
      <c r="N941" s="26"/>
      <c r="O941" s="24"/>
      <c r="P941" s="16"/>
      <c r="Q941" s="2">
        <f t="shared" si="51"/>
        <v>0</v>
      </c>
    </row>
    <row r="942" spans="12:17" x14ac:dyDescent="0.3">
      <c r="L942" s="21"/>
      <c r="M942" s="14"/>
      <c r="N942" s="26"/>
      <c r="O942" s="24"/>
      <c r="P942" s="16"/>
      <c r="Q942" s="2">
        <f t="shared" si="51"/>
        <v>0</v>
      </c>
    </row>
    <row r="943" spans="12:17" x14ac:dyDescent="0.3">
      <c r="L943" s="21"/>
      <c r="M943" s="14"/>
      <c r="N943" s="26"/>
      <c r="O943" s="24"/>
      <c r="P943" s="16"/>
      <c r="Q943" s="2">
        <f t="shared" si="51"/>
        <v>0</v>
      </c>
    </row>
    <row r="944" spans="12:17" x14ac:dyDescent="0.3">
      <c r="L944" s="21"/>
      <c r="M944" s="14"/>
      <c r="N944" s="26"/>
      <c r="O944" s="24"/>
      <c r="P944" s="16"/>
      <c r="Q944" s="2">
        <f t="shared" si="51"/>
        <v>0</v>
      </c>
    </row>
    <row r="945" spans="12:17" x14ac:dyDescent="0.3">
      <c r="L945" s="21"/>
      <c r="M945" s="14"/>
      <c r="N945" s="26"/>
      <c r="O945" s="24"/>
      <c r="P945" s="16"/>
      <c r="Q945" s="2">
        <f t="shared" si="51"/>
        <v>0</v>
      </c>
    </row>
    <row r="946" spans="12:17" x14ac:dyDescent="0.3">
      <c r="L946" s="21"/>
      <c r="M946" s="14"/>
      <c r="N946" s="26"/>
      <c r="O946" s="24"/>
      <c r="P946" s="16"/>
      <c r="Q946" s="2">
        <f t="shared" si="51"/>
        <v>0</v>
      </c>
    </row>
    <row r="947" spans="12:17" x14ac:dyDescent="0.3">
      <c r="L947" s="21"/>
      <c r="M947" s="14"/>
      <c r="N947" s="26"/>
      <c r="O947" s="24"/>
      <c r="P947" s="16"/>
      <c r="Q947" s="2">
        <f t="shared" si="51"/>
        <v>0</v>
      </c>
    </row>
    <row r="948" spans="12:17" x14ac:dyDescent="0.3">
      <c r="L948" s="21"/>
      <c r="M948" s="14"/>
      <c r="N948" s="26"/>
      <c r="O948" s="24"/>
      <c r="P948" s="16"/>
      <c r="Q948" s="2">
        <f t="shared" si="51"/>
        <v>0</v>
      </c>
    </row>
    <row r="949" spans="12:17" x14ac:dyDescent="0.3">
      <c r="L949" s="21"/>
      <c r="M949" s="14"/>
      <c r="N949" s="26"/>
      <c r="O949" s="24"/>
      <c r="P949" s="16"/>
      <c r="Q949" s="2">
        <f t="shared" si="51"/>
        <v>0</v>
      </c>
    </row>
    <row r="950" spans="12:17" x14ac:dyDescent="0.3">
      <c r="L950" s="21"/>
      <c r="M950" s="14"/>
      <c r="N950" s="26"/>
      <c r="O950" s="24"/>
      <c r="P950" s="16"/>
      <c r="Q950" s="2">
        <f t="shared" si="51"/>
        <v>0</v>
      </c>
    </row>
    <row r="951" spans="12:17" x14ac:dyDescent="0.3">
      <c r="L951" s="21"/>
      <c r="M951" s="14"/>
      <c r="N951" s="26"/>
      <c r="O951" s="24"/>
      <c r="P951" s="16"/>
      <c r="Q951" s="2">
        <f t="shared" si="51"/>
        <v>0</v>
      </c>
    </row>
    <row r="952" spans="12:17" x14ac:dyDescent="0.3">
      <c r="L952" s="21"/>
      <c r="M952" s="14"/>
      <c r="N952" s="26"/>
      <c r="O952" s="24"/>
      <c r="P952" s="16"/>
      <c r="Q952" s="2">
        <f t="shared" si="51"/>
        <v>0</v>
      </c>
    </row>
    <row r="953" spans="12:17" x14ac:dyDescent="0.3">
      <c r="L953" s="21"/>
      <c r="M953" s="14"/>
      <c r="N953" s="26"/>
      <c r="O953" s="24"/>
      <c r="P953" s="16"/>
      <c r="Q953" s="2">
        <f t="shared" si="51"/>
        <v>0</v>
      </c>
    </row>
    <row r="954" spans="12:17" x14ac:dyDescent="0.3">
      <c r="L954" s="21"/>
      <c r="M954" s="14"/>
      <c r="N954" s="26"/>
      <c r="O954" s="24"/>
      <c r="P954" s="16"/>
      <c r="Q954" s="2">
        <f t="shared" si="51"/>
        <v>0</v>
      </c>
    </row>
    <row r="955" spans="12:17" x14ac:dyDescent="0.3">
      <c r="L955" s="21"/>
      <c r="M955" s="14"/>
      <c r="N955" s="26"/>
      <c r="O955" s="24"/>
      <c r="P955" s="16"/>
      <c r="Q955" s="2">
        <f t="shared" si="51"/>
        <v>0</v>
      </c>
    </row>
    <row r="956" spans="12:17" x14ac:dyDescent="0.3">
      <c r="L956" s="21"/>
      <c r="M956" s="14"/>
      <c r="N956" s="26"/>
      <c r="O956" s="24"/>
      <c r="P956" s="16"/>
      <c r="Q956" s="2">
        <f t="shared" si="51"/>
        <v>0</v>
      </c>
    </row>
    <row r="957" spans="12:17" x14ac:dyDescent="0.3">
      <c r="L957" s="21"/>
      <c r="M957" s="14"/>
      <c r="N957" s="26"/>
      <c r="O957" s="24"/>
      <c r="P957" s="16"/>
      <c r="Q957" s="2">
        <f t="shared" si="51"/>
        <v>0</v>
      </c>
    </row>
    <row r="958" spans="12:17" x14ac:dyDescent="0.3">
      <c r="L958" s="21"/>
      <c r="M958" s="14"/>
      <c r="N958" s="26"/>
      <c r="O958" s="24"/>
      <c r="P958" s="16"/>
      <c r="Q958" s="2">
        <f t="shared" si="51"/>
        <v>0</v>
      </c>
    </row>
    <row r="959" spans="12:17" x14ac:dyDescent="0.3">
      <c r="L959" s="21"/>
      <c r="M959" s="14"/>
      <c r="N959" s="26"/>
      <c r="O959" s="24"/>
      <c r="P959" s="16"/>
      <c r="Q959" s="2">
        <f t="shared" si="51"/>
        <v>0</v>
      </c>
    </row>
    <row r="960" spans="12:17" x14ac:dyDescent="0.3">
      <c r="L960" s="21"/>
      <c r="M960" s="14"/>
      <c r="N960" s="26"/>
      <c r="O960" s="24"/>
      <c r="P960" s="16"/>
      <c r="Q960" s="2">
        <f t="shared" si="51"/>
        <v>0</v>
      </c>
    </row>
    <row r="961" spans="12:17" x14ac:dyDescent="0.3">
      <c r="L961" s="21"/>
      <c r="M961" s="14"/>
      <c r="N961" s="26"/>
      <c r="O961" s="24"/>
      <c r="P961" s="16"/>
      <c r="Q961" s="2">
        <f t="shared" si="51"/>
        <v>0</v>
      </c>
    </row>
    <row r="962" spans="12:17" x14ac:dyDescent="0.3">
      <c r="L962" s="21"/>
      <c r="M962" s="14"/>
      <c r="N962" s="26"/>
      <c r="O962" s="24"/>
      <c r="P962" s="16"/>
      <c r="Q962" s="2">
        <f t="shared" si="51"/>
        <v>0</v>
      </c>
    </row>
    <row r="963" spans="12:17" x14ac:dyDescent="0.3">
      <c r="L963" s="21"/>
      <c r="M963" s="14"/>
      <c r="N963" s="26"/>
      <c r="O963" s="24"/>
      <c r="P963" s="16"/>
      <c r="Q963" s="2">
        <f t="shared" si="51"/>
        <v>0</v>
      </c>
    </row>
    <row r="964" spans="12:17" x14ac:dyDescent="0.3">
      <c r="L964" s="21"/>
      <c r="M964" s="14"/>
      <c r="N964" s="26"/>
      <c r="O964" s="24"/>
      <c r="P964" s="16"/>
      <c r="Q964" s="2">
        <f t="shared" si="51"/>
        <v>0</v>
      </c>
    </row>
    <row r="965" spans="12:17" x14ac:dyDescent="0.3">
      <c r="L965" s="21"/>
      <c r="M965" s="14"/>
      <c r="N965" s="26"/>
      <c r="O965" s="24"/>
      <c r="P965" s="16"/>
      <c r="Q965" s="2">
        <f t="shared" si="51"/>
        <v>0</v>
      </c>
    </row>
    <row r="966" spans="12:17" x14ac:dyDescent="0.3">
      <c r="L966" s="21"/>
      <c r="M966" s="14"/>
      <c r="N966" s="26"/>
      <c r="O966" s="24"/>
      <c r="P966" s="16"/>
      <c r="Q966" s="2">
        <f t="shared" si="51"/>
        <v>0</v>
      </c>
    </row>
    <row r="967" spans="12:17" x14ac:dyDescent="0.3">
      <c r="L967" s="21"/>
      <c r="M967" s="14"/>
      <c r="N967" s="26"/>
      <c r="O967" s="24"/>
      <c r="P967" s="16"/>
      <c r="Q967" s="2">
        <f t="shared" si="51"/>
        <v>0</v>
      </c>
    </row>
    <row r="968" spans="12:17" x14ac:dyDescent="0.3">
      <c r="L968" s="21"/>
      <c r="M968" s="14"/>
      <c r="N968" s="26"/>
      <c r="O968" s="24"/>
      <c r="P968" s="16"/>
      <c r="Q968" s="2">
        <f t="shared" si="51"/>
        <v>0</v>
      </c>
    </row>
    <row r="969" spans="12:17" x14ac:dyDescent="0.3">
      <c r="L969" s="21"/>
      <c r="M969" s="14"/>
      <c r="N969" s="26"/>
      <c r="O969" s="24"/>
      <c r="P969" s="16"/>
      <c r="Q969" s="2">
        <f t="shared" si="51"/>
        <v>0</v>
      </c>
    </row>
    <row r="970" spans="12:17" x14ac:dyDescent="0.3">
      <c r="L970" s="21"/>
      <c r="M970" s="14"/>
      <c r="N970" s="26"/>
      <c r="O970" s="24"/>
      <c r="P970" s="16"/>
      <c r="Q970" s="2">
        <f t="shared" si="51"/>
        <v>0</v>
      </c>
    </row>
    <row r="971" spans="12:17" x14ac:dyDescent="0.3">
      <c r="L971" s="21"/>
      <c r="M971" s="14"/>
      <c r="N971" s="26"/>
      <c r="O971" s="24"/>
      <c r="P971" s="16"/>
      <c r="Q971" s="2">
        <f t="shared" si="51"/>
        <v>0</v>
      </c>
    </row>
    <row r="972" spans="12:17" x14ac:dyDescent="0.3">
      <c r="L972" s="21"/>
      <c r="M972" s="14"/>
      <c r="N972" s="26"/>
      <c r="O972" s="24"/>
      <c r="P972" s="16"/>
      <c r="Q972" s="2">
        <f t="shared" si="51"/>
        <v>0</v>
      </c>
    </row>
    <row r="973" spans="12:17" x14ac:dyDescent="0.3">
      <c r="L973" s="21"/>
      <c r="M973" s="14"/>
      <c r="N973" s="26"/>
      <c r="O973" s="24"/>
      <c r="P973" s="16"/>
      <c r="Q973" s="2">
        <f t="shared" si="51"/>
        <v>0</v>
      </c>
    </row>
    <row r="974" spans="12:17" x14ac:dyDescent="0.3">
      <c r="L974" s="21"/>
      <c r="M974" s="14"/>
      <c r="N974" s="26"/>
      <c r="O974" s="24"/>
      <c r="P974" s="16"/>
      <c r="Q974" s="2">
        <f t="shared" si="51"/>
        <v>0</v>
      </c>
    </row>
    <row r="975" spans="12:17" x14ac:dyDescent="0.3">
      <c r="L975" s="21"/>
      <c r="M975" s="14"/>
      <c r="N975" s="26"/>
      <c r="O975" s="24"/>
      <c r="P975" s="16"/>
      <c r="Q975" s="2">
        <f t="shared" si="51"/>
        <v>0</v>
      </c>
    </row>
    <row r="976" spans="12:17" x14ac:dyDescent="0.3">
      <c r="L976" s="21"/>
      <c r="M976" s="14"/>
      <c r="N976" s="26"/>
      <c r="O976" s="24"/>
      <c r="P976" s="16"/>
      <c r="Q976" s="2">
        <f t="shared" si="51"/>
        <v>0</v>
      </c>
    </row>
    <row r="977" spans="12:17" x14ac:dyDescent="0.3">
      <c r="L977" s="21"/>
      <c r="M977" s="14"/>
      <c r="N977" s="26"/>
      <c r="O977" s="24"/>
      <c r="P977" s="16"/>
      <c r="Q977" s="2">
        <f t="shared" si="51"/>
        <v>0</v>
      </c>
    </row>
    <row r="978" spans="12:17" x14ac:dyDescent="0.3">
      <c r="L978" s="21"/>
      <c r="M978" s="14"/>
      <c r="N978" s="26"/>
      <c r="O978" s="24"/>
      <c r="P978" s="16"/>
      <c r="Q978" s="2">
        <f t="shared" si="51"/>
        <v>0</v>
      </c>
    </row>
    <row r="979" spans="12:17" x14ac:dyDescent="0.3">
      <c r="L979" s="21"/>
      <c r="M979" s="14"/>
      <c r="N979" s="26"/>
      <c r="O979" s="24"/>
      <c r="P979" s="16"/>
      <c r="Q979" s="2">
        <f t="shared" si="51"/>
        <v>0</v>
      </c>
    </row>
    <row r="980" spans="12:17" x14ac:dyDescent="0.3">
      <c r="L980" s="21"/>
      <c r="M980" s="14"/>
      <c r="N980" s="26"/>
      <c r="O980" s="24"/>
      <c r="P980" s="16"/>
      <c r="Q980" s="2">
        <f t="shared" ref="Q980:Q999" si="52">C980-M980+P980</f>
        <v>0</v>
      </c>
    </row>
    <row r="981" spans="12:17" x14ac:dyDescent="0.3">
      <c r="L981" s="21"/>
      <c r="M981" s="14"/>
      <c r="N981" s="26"/>
      <c r="O981" s="24"/>
      <c r="P981" s="16"/>
      <c r="Q981" s="2">
        <f t="shared" si="52"/>
        <v>0</v>
      </c>
    </row>
    <row r="982" spans="12:17" x14ac:dyDescent="0.3">
      <c r="L982" s="21"/>
      <c r="M982" s="14"/>
      <c r="N982" s="26"/>
      <c r="O982" s="24"/>
      <c r="P982" s="16"/>
      <c r="Q982" s="2">
        <f t="shared" si="52"/>
        <v>0</v>
      </c>
    </row>
    <row r="983" spans="12:17" x14ac:dyDescent="0.3">
      <c r="L983" s="21"/>
      <c r="M983" s="14"/>
      <c r="N983" s="26"/>
      <c r="O983" s="24"/>
      <c r="P983" s="16"/>
      <c r="Q983" s="2">
        <f t="shared" si="52"/>
        <v>0</v>
      </c>
    </row>
    <row r="984" spans="12:17" x14ac:dyDescent="0.3">
      <c r="L984" s="21"/>
      <c r="M984" s="14"/>
      <c r="N984" s="26"/>
      <c r="O984" s="24"/>
      <c r="P984" s="16"/>
      <c r="Q984" s="2">
        <f t="shared" si="52"/>
        <v>0</v>
      </c>
    </row>
    <row r="985" spans="12:17" x14ac:dyDescent="0.3">
      <c r="L985" s="21"/>
      <c r="M985" s="14"/>
      <c r="N985" s="26"/>
      <c r="O985" s="24"/>
      <c r="P985" s="16"/>
      <c r="Q985" s="2">
        <f t="shared" si="52"/>
        <v>0</v>
      </c>
    </row>
    <row r="986" spans="12:17" x14ac:dyDescent="0.3">
      <c r="L986" s="21"/>
      <c r="M986" s="14"/>
      <c r="N986" s="26"/>
      <c r="O986" s="24"/>
      <c r="P986" s="16"/>
      <c r="Q986" s="2">
        <f t="shared" si="52"/>
        <v>0</v>
      </c>
    </row>
    <row r="987" spans="12:17" x14ac:dyDescent="0.3">
      <c r="L987" s="21"/>
      <c r="M987" s="14"/>
      <c r="N987" s="26"/>
      <c r="O987" s="24"/>
      <c r="P987" s="16"/>
      <c r="Q987" s="2">
        <f t="shared" si="52"/>
        <v>0</v>
      </c>
    </row>
    <row r="988" spans="12:17" x14ac:dyDescent="0.3">
      <c r="L988" s="21"/>
      <c r="M988" s="14"/>
      <c r="N988" s="26"/>
      <c r="O988" s="24"/>
      <c r="P988" s="16"/>
      <c r="Q988" s="2">
        <f t="shared" si="52"/>
        <v>0</v>
      </c>
    </row>
    <row r="989" spans="12:17" x14ac:dyDescent="0.3">
      <c r="L989" s="21"/>
      <c r="M989" s="14"/>
      <c r="N989" s="26"/>
      <c r="O989" s="24"/>
      <c r="P989" s="16"/>
      <c r="Q989" s="2">
        <f t="shared" si="52"/>
        <v>0</v>
      </c>
    </row>
    <row r="990" spans="12:17" x14ac:dyDescent="0.3">
      <c r="L990" s="21"/>
      <c r="M990" s="14"/>
      <c r="N990" s="26"/>
      <c r="O990" s="24"/>
      <c r="P990" s="16"/>
      <c r="Q990" s="2">
        <f t="shared" si="52"/>
        <v>0</v>
      </c>
    </row>
    <row r="991" spans="12:17" x14ac:dyDescent="0.3">
      <c r="L991" s="21"/>
      <c r="M991" s="14"/>
      <c r="N991" s="26"/>
      <c r="O991" s="24"/>
      <c r="P991" s="16"/>
      <c r="Q991" s="2">
        <f t="shared" si="52"/>
        <v>0</v>
      </c>
    </row>
    <row r="992" spans="12:17" x14ac:dyDescent="0.3">
      <c r="L992" s="21"/>
      <c r="M992" s="14"/>
      <c r="N992" s="26"/>
      <c r="O992" s="24"/>
      <c r="P992" s="16"/>
      <c r="Q992" s="2">
        <f t="shared" si="52"/>
        <v>0</v>
      </c>
    </row>
    <row r="993" spans="12:17" x14ac:dyDescent="0.3">
      <c r="L993" s="21"/>
      <c r="M993" s="14"/>
      <c r="N993" s="26"/>
      <c r="O993" s="24"/>
      <c r="P993" s="16"/>
      <c r="Q993" s="2">
        <f t="shared" si="52"/>
        <v>0</v>
      </c>
    </row>
    <row r="994" spans="12:17" x14ac:dyDescent="0.3">
      <c r="L994" s="21"/>
      <c r="M994" s="14"/>
      <c r="N994" s="26"/>
      <c r="O994" s="24"/>
      <c r="P994" s="16"/>
      <c r="Q994" s="2">
        <f t="shared" si="52"/>
        <v>0</v>
      </c>
    </row>
    <row r="995" spans="12:17" x14ac:dyDescent="0.3">
      <c r="L995" s="21"/>
      <c r="M995" s="14"/>
      <c r="N995" s="26"/>
      <c r="O995" s="24"/>
      <c r="P995" s="16"/>
      <c r="Q995" s="2">
        <f t="shared" si="52"/>
        <v>0</v>
      </c>
    </row>
    <row r="996" spans="12:17" x14ac:dyDescent="0.3">
      <c r="L996" s="21"/>
      <c r="M996" s="14"/>
      <c r="N996" s="26"/>
      <c r="O996" s="24"/>
      <c r="P996" s="16"/>
      <c r="Q996" s="2">
        <f t="shared" si="52"/>
        <v>0</v>
      </c>
    </row>
    <row r="997" spans="12:17" x14ac:dyDescent="0.3">
      <c r="L997" s="21"/>
      <c r="M997" s="14"/>
      <c r="N997" s="26"/>
      <c r="O997" s="24"/>
      <c r="P997" s="16"/>
      <c r="Q997" s="2">
        <f t="shared" si="52"/>
        <v>0</v>
      </c>
    </row>
    <row r="998" spans="12:17" x14ac:dyDescent="0.3">
      <c r="L998" s="21"/>
      <c r="M998" s="14"/>
      <c r="N998" s="26"/>
      <c r="O998" s="24"/>
      <c r="P998" s="16"/>
      <c r="Q998" s="2">
        <f t="shared" si="52"/>
        <v>0</v>
      </c>
    </row>
    <row r="999" spans="12:17" x14ac:dyDescent="0.3">
      <c r="L999" s="21"/>
      <c r="M999" s="14"/>
      <c r="N999" s="26"/>
      <c r="O999" s="24"/>
      <c r="P999" s="16"/>
      <c r="Q999" s="2">
        <f t="shared" si="52"/>
        <v>0</v>
      </c>
    </row>
    <row r="1010" spans="7:7" x14ac:dyDescent="0.3">
      <c r="G1010" s="27"/>
    </row>
    <row r="1011" spans="7:7" x14ac:dyDescent="0.3">
      <c r="G1011" s="27"/>
    </row>
    <row r="1012" spans="7:7" x14ac:dyDescent="0.3">
      <c r="G1012" s="27"/>
    </row>
    <row r="1013" spans="7:7" x14ac:dyDescent="0.3">
      <c r="G1013" s="27"/>
    </row>
    <row r="1014" spans="7:7" x14ac:dyDescent="0.3">
      <c r="G1014" s="27"/>
    </row>
    <row r="1015" spans="7:7" x14ac:dyDescent="0.3">
      <c r="G1015" s="27"/>
    </row>
    <row r="1016" spans="7:7" x14ac:dyDescent="0.3">
      <c r="G1016" s="27"/>
    </row>
    <row r="1017" spans="7:7" x14ac:dyDescent="0.3">
      <c r="G1017" s="27"/>
    </row>
    <row r="1018" spans="7:7" x14ac:dyDescent="0.3">
      <c r="G1018" s="27"/>
    </row>
    <row r="1019" spans="7:7" x14ac:dyDescent="0.3">
      <c r="G1019" s="27"/>
    </row>
    <row r="1020" spans="7:7" x14ac:dyDescent="0.3">
      <c r="G1020" s="27"/>
    </row>
    <row r="1021" spans="7:7" x14ac:dyDescent="0.3">
      <c r="G1021" s="27"/>
    </row>
    <row r="1022" spans="7:7" x14ac:dyDescent="0.3">
      <c r="G1022" s="27"/>
    </row>
    <row r="1023" spans="7:7" x14ac:dyDescent="0.3">
      <c r="G1023" s="27"/>
    </row>
    <row r="1024" spans="7:7" x14ac:dyDescent="0.3">
      <c r="G1024" s="27"/>
    </row>
    <row r="1025" spans="7:7" x14ac:dyDescent="0.3">
      <c r="G1025" s="27"/>
    </row>
    <row r="1026" spans="7:7" x14ac:dyDescent="0.3">
      <c r="G1026" s="27"/>
    </row>
    <row r="1027" spans="7:7" x14ac:dyDescent="0.3">
      <c r="G1027" s="27"/>
    </row>
    <row r="1028" spans="7:7" x14ac:dyDescent="0.3">
      <c r="G1028" s="27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51FD-9E43-4839-B7A4-CF6FA5FDC4A0}">
  <sheetPr codeName="Foglio2">
    <tabColor rgb="FFFF0000"/>
    <pageSetUpPr fitToPage="1"/>
  </sheetPr>
  <dimension ref="A1:CU146"/>
  <sheetViews>
    <sheetView showGridLines="0" workbookViewId="0">
      <pane ySplit="4" topLeftCell="A5" activePane="bottomLeft" state="frozen"/>
      <selection pane="bottomLeft" activeCell="D13" sqref="D13"/>
    </sheetView>
  </sheetViews>
  <sheetFormatPr defaultRowHeight="14.4" x14ac:dyDescent="0.3"/>
  <cols>
    <col min="1" max="1" width="26.33203125" bestFit="1" customWidth="1"/>
    <col min="2" max="2" width="21.109375" bestFit="1" customWidth="1"/>
    <col min="3" max="77" width="5" bestFit="1" customWidth="1"/>
    <col min="78" max="94" width="6" bestFit="1" customWidth="1"/>
    <col min="95" max="95" width="10" bestFit="1" customWidth="1"/>
    <col min="96" max="96" width="7.5546875" bestFit="1" customWidth="1"/>
    <col min="97" max="98" width="5" bestFit="1" customWidth="1"/>
    <col min="99" max="99" width="18.33203125" bestFit="1" customWidth="1"/>
    <col min="100" max="100" width="18.6640625" bestFit="1" customWidth="1"/>
    <col min="101" max="101" width="17.33203125" bestFit="1" customWidth="1"/>
    <col min="102" max="102" width="18.6640625" bestFit="1" customWidth="1"/>
    <col min="103" max="103" width="17.33203125" bestFit="1" customWidth="1"/>
    <col min="104" max="104" width="18.6640625" bestFit="1" customWidth="1"/>
    <col min="105" max="105" width="17.33203125" bestFit="1" customWidth="1"/>
    <col min="106" max="106" width="18.6640625" bestFit="1" customWidth="1"/>
    <col min="107" max="107" width="17.33203125" bestFit="1" customWidth="1"/>
    <col min="108" max="108" width="18.6640625" bestFit="1" customWidth="1"/>
    <col min="109" max="109" width="17.33203125" bestFit="1" customWidth="1"/>
    <col min="110" max="110" width="18.6640625" bestFit="1" customWidth="1"/>
    <col min="111" max="111" width="17.33203125" bestFit="1" customWidth="1"/>
    <col min="112" max="112" width="18.6640625" bestFit="1" customWidth="1"/>
    <col min="113" max="113" width="17.33203125" bestFit="1" customWidth="1"/>
    <col min="114" max="114" width="18.6640625" bestFit="1" customWidth="1"/>
    <col min="115" max="115" width="17.33203125" bestFit="1" customWidth="1"/>
    <col min="116" max="116" width="18.6640625" bestFit="1" customWidth="1"/>
    <col min="117" max="117" width="17.33203125" bestFit="1" customWidth="1"/>
    <col min="118" max="118" width="18.6640625" bestFit="1" customWidth="1"/>
    <col min="119" max="119" width="17.33203125" bestFit="1" customWidth="1"/>
    <col min="120" max="120" width="18.6640625" bestFit="1" customWidth="1"/>
    <col min="121" max="121" width="17.33203125" bestFit="1" customWidth="1"/>
    <col min="122" max="122" width="18.6640625" bestFit="1" customWidth="1"/>
    <col min="123" max="123" width="17.33203125" bestFit="1" customWidth="1"/>
    <col min="124" max="124" width="18.6640625" bestFit="1" customWidth="1"/>
    <col min="125" max="125" width="17.33203125" bestFit="1" customWidth="1"/>
    <col min="126" max="126" width="18.6640625" bestFit="1" customWidth="1"/>
    <col min="127" max="127" width="17.33203125" bestFit="1" customWidth="1"/>
    <col min="128" max="128" width="18.6640625" bestFit="1" customWidth="1"/>
    <col min="129" max="129" width="17.33203125" bestFit="1" customWidth="1"/>
    <col min="130" max="130" width="18.6640625" bestFit="1" customWidth="1"/>
    <col min="131" max="131" width="17.33203125" bestFit="1" customWidth="1"/>
    <col min="132" max="132" width="18.6640625" bestFit="1" customWidth="1"/>
    <col min="133" max="133" width="17.33203125" bestFit="1" customWidth="1"/>
    <col min="134" max="134" width="18.6640625" bestFit="1" customWidth="1"/>
    <col min="135" max="135" width="17.33203125" bestFit="1" customWidth="1"/>
    <col min="136" max="136" width="18.6640625" bestFit="1" customWidth="1"/>
    <col min="137" max="137" width="17.33203125" bestFit="1" customWidth="1"/>
    <col min="138" max="138" width="18.6640625" bestFit="1" customWidth="1"/>
    <col min="139" max="139" width="17.33203125" bestFit="1" customWidth="1"/>
    <col min="140" max="140" width="18.6640625" bestFit="1" customWidth="1"/>
    <col min="141" max="141" width="17.33203125" bestFit="1" customWidth="1"/>
    <col min="142" max="142" width="18.6640625" bestFit="1" customWidth="1"/>
    <col min="143" max="143" width="17.33203125" bestFit="1" customWidth="1"/>
    <col min="144" max="144" width="18.6640625" bestFit="1" customWidth="1"/>
    <col min="145" max="145" width="17.33203125" bestFit="1" customWidth="1"/>
    <col min="146" max="146" width="18.6640625" bestFit="1" customWidth="1"/>
    <col min="147" max="147" width="17.33203125" bestFit="1" customWidth="1"/>
    <col min="148" max="148" width="18.6640625" bestFit="1" customWidth="1"/>
    <col min="149" max="149" width="17.33203125" bestFit="1" customWidth="1"/>
    <col min="150" max="150" width="18.6640625" bestFit="1" customWidth="1"/>
    <col min="151" max="151" width="17.33203125" bestFit="1" customWidth="1"/>
    <col min="152" max="152" width="18.6640625" bestFit="1" customWidth="1"/>
    <col min="153" max="153" width="17.33203125" bestFit="1" customWidth="1"/>
    <col min="154" max="154" width="18.6640625" bestFit="1" customWidth="1"/>
    <col min="155" max="155" width="17.33203125" bestFit="1" customWidth="1"/>
    <col min="156" max="156" width="18.6640625" bestFit="1" customWidth="1"/>
    <col min="157" max="157" width="17.33203125" bestFit="1" customWidth="1"/>
    <col min="158" max="158" width="18.6640625" bestFit="1" customWidth="1"/>
    <col min="159" max="159" width="17.33203125" bestFit="1" customWidth="1"/>
    <col min="160" max="160" width="18.6640625" bestFit="1" customWidth="1"/>
    <col min="161" max="161" width="17.33203125" bestFit="1" customWidth="1"/>
    <col min="162" max="162" width="18.6640625" bestFit="1" customWidth="1"/>
    <col min="163" max="163" width="17.33203125" bestFit="1" customWidth="1"/>
    <col min="164" max="164" width="18.6640625" bestFit="1" customWidth="1"/>
    <col min="165" max="165" width="17.33203125" bestFit="1" customWidth="1"/>
    <col min="166" max="166" width="18.6640625" bestFit="1" customWidth="1"/>
    <col min="167" max="167" width="17.33203125" bestFit="1" customWidth="1"/>
    <col min="168" max="168" width="18.6640625" bestFit="1" customWidth="1"/>
    <col min="169" max="169" width="17.33203125" bestFit="1" customWidth="1"/>
    <col min="170" max="170" width="18.6640625" bestFit="1" customWidth="1"/>
    <col min="171" max="171" width="17.33203125" bestFit="1" customWidth="1"/>
    <col min="172" max="172" width="18.6640625" bestFit="1" customWidth="1"/>
    <col min="173" max="173" width="17.33203125" bestFit="1" customWidth="1"/>
    <col min="174" max="174" width="18.6640625" bestFit="1" customWidth="1"/>
    <col min="175" max="175" width="17.33203125" bestFit="1" customWidth="1"/>
    <col min="176" max="176" width="18.6640625" bestFit="1" customWidth="1"/>
    <col min="177" max="177" width="17.33203125" bestFit="1" customWidth="1"/>
    <col min="178" max="178" width="18.6640625" bestFit="1" customWidth="1"/>
    <col min="179" max="179" width="17.33203125" bestFit="1" customWidth="1"/>
    <col min="180" max="180" width="18.6640625" bestFit="1" customWidth="1"/>
    <col min="181" max="181" width="17.33203125" bestFit="1" customWidth="1"/>
    <col min="182" max="182" width="18.6640625" bestFit="1" customWidth="1"/>
    <col min="183" max="183" width="17.33203125" bestFit="1" customWidth="1"/>
    <col min="184" max="184" width="18.6640625" bestFit="1" customWidth="1"/>
    <col min="185" max="185" width="17.33203125" bestFit="1" customWidth="1"/>
    <col min="186" max="186" width="18.6640625" bestFit="1" customWidth="1"/>
    <col min="187" max="187" width="17.33203125" bestFit="1" customWidth="1"/>
    <col min="188" max="188" width="18.6640625" bestFit="1" customWidth="1"/>
    <col min="189" max="189" width="17.33203125" bestFit="1" customWidth="1"/>
    <col min="190" max="190" width="18.6640625" bestFit="1" customWidth="1"/>
    <col min="191" max="191" width="17.33203125" bestFit="1" customWidth="1"/>
    <col min="192" max="192" width="24.109375" bestFit="1" customWidth="1"/>
    <col min="193" max="193" width="22.6640625" bestFit="1" customWidth="1"/>
  </cols>
  <sheetData>
    <row r="1" spans="1:99" x14ac:dyDescent="0.3">
      <c r="A1" s="9" t="s">
        <v>0</v>
      </c>
      <c r="B1" s="6" t="s">
        <v>239</v>
      </c>
    </row>
    <row r="3" spans="1:99" x14ac:dyDescent="0.3">
      <c r="A3" s="9" t="s">
        <v>240</v>
      </c>
      <c r="B3" s="9" t="s">
        <v>171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</row>
    <row r="4" spans="1:99" x14ac:dyDescent="0.3">
      <c r="A4" s="9" t="s">
        <v>168</v>
      </c>
      <c r="B4" s="6">
        <v>300</v>
      </c>
      <c r="C4" s="6">
        <v>1000</v>
      </c>
      <c r="D4" s="6">
        <v>1100</v>
      </c>
      <c r="E4" s="6">
        <v>1150</v>
      </c>
      <c r="F4" s="6">
        <v>1200</v>
      </c>
      <c r="G4" s="6">
        <v>1300</v>
      </c>
      <c r="H4" s="6">
        <v>1350</v>
      </c>
      <c r="I4" s="6">
        <v>1400</v>
      </c>
      <c r="J4" s="6">
        <v>1450</v>
      </c>
      <c r="K4" s="6">
        <v>1500</v>
      </c>
      <c r="L4" s="6">
        <v>1600</v>
      </c>
      <c r="M4" s="6">
        <v>1700</v>
      </c>
      <c r="N4" s="6">
        <v>1750</v>
      </c>
      <c r="O4" s="6">
        <v>1800</v>
      </c>
      <c r="P4" s="6">
        <v>1900</v>
      </c>
      <c r="Q4" s="6">
        <v>1950</v>
      </c>
      <c r="R4" s="6">
        <v>2000</v>
      </c>
      <c r="S4" s="6">
        <v>2100</v>
      </c>
      <c r="T4" s="6">
        <v>2200</v>
      </c>
      <c r="U4" s="6">
        <v>2250</v>
      </c>
      <c r="V4" s="6">
        <v>2300</v>
      </c>
      <c r="W4" s="6">
        <v>2400</v>
      </c>
      <c r="X4" s="6">
        <v>2500</v>
      </c>
      <c r="Y4" s="6">
        <v>2600</v>
      </c>
      <c r="Z4" s="6">
        <v>2650</v>
      </c>
      <c r="AA4" s="6">
        <v>2700</v>
      </c>
      <c r="AB4" s="6">
        <v>2800</v>
      </c>
      <c r="AC4" s="6">
        <v>2900</v>
      </c>
      <c r="AD4" s="6">
        <v>3000</v>
      </c>
      <c r="AE4" s="6">
        <v>3100</v>
      </c>
      <c r="AF4" s="6">
        <v>3200</v>
      </c>
      <c r="AG4" s="6">
        <v>3300</v>
      </c>
      <c r="AH4" s="6">
        <v>3400</v>
      </c>
      <c r="AI4" s="6">
        <v>3500</v>
      </c>
      <c r="AJ4" s="6">
        <v>3600</v>
      </c>
      <c r="AK4" s="6">
        <v>3700</v>
      </c>
      <c r="AL4" s="6">
        <v>3800</v>
      </c>
      <c r="AM4" s="6">
        <v>3900</v>
      </c>
      <c r="AN4" s="6">
        <v>4000</v>
      </c>
      <c r="AO4" s="6">
        <v>4100</v>
      </c>
      <c r="AP4" s="6">
        <v>4200</v>
      </c>
      <c r="AQ4" s="6">
        <v>4300</v>
      </c>
      <c r="AR4" s="6">
        <v>4500</v>
      </c>
      <c r="AS4" s="6">
        <v>4600</v>
      </c>
      <c r="AT4" s="6">
        <v>4800</v>
      </c>
      <c r="AU4" s="6">
        <v>4850</v>
      </c>
      <c r="AV4" s="6">
        <v>5000</v>
      </c>
      <c r="AW4" s="6">
        <v>5100</v>
      </c>
      <c r="AX4" s="6">
        <v>5300</v>
      </c>
      <c r="AY4" s="6">
        <v>5500</v>
      </c>
      <c r="AZ4" s="6">
        <v>5600</v>
      </c>
      <c r="BA4" s="6">
        <v>5800</v>
      </c>
      <c r="BB4" s="6">
        <v>6000</v>
      </c>
      <c r="BC4" s="6">
        <v>6100</v>
      </c>
      <c r="BD4" s="6">
        <v>6300</v>
      </c>
      <c r="BE4" s="6">
        <v>6400</v>
      </c>
      <c r="BF4" s="6">
        <v>6500</v>
      </c>
      <c r="BG4" s="6">
        <v>6600</v>
      </c>
      <c r="BH4" s="6">
        <v>6700</v>
      </c>
      <c r="BI4" s="6">
        <v>6900</v>
      </c>
      <c r="BJ4" s="6">
        <v>7000</v>
      </c>
      <c r="BK4" s="6">
        <v>7100</v>
      </c>
      <c r="BL4" s="6">
        <v>7600</v>
      </c>
      <c r="BM4" s="6">
        <v>7700</v>
      </c>
      <c r="BN4" s="6">
        <v>7800</v>
      </c>
      <c r="BO4" s="6">
        <v>8100</v>
      </c>
      <c r="BP4" s="6">
        <v>8500</v>
      </c>
      <c r="BQ4" s="6">
        <v>8700</v>
      </c>
      <c r="BR4" s="6">
        <v>8800</v>
      </c>
      <c r="BS4" s="6">
        <v>8900</v>
      </c>
      <c r="BT4" s="6">
        <v>9100</v>
      </c>
      <c r="BU4" s="6">
        <v>9200</v>
      </c>
      <c r="BV4" s="6">
        <v>9300</v>
      </c>
      <c r="BW4" s="6">
        <v>9500</v>
      </c>
      <c r="BX4" s="6">
        <v>9700</v>
      </c>
      <c r="BY4" s="6">
        <v>9900</v>
      </c>
      <c r="BZ4" s="6">
        <v>10000</v>
      </c>
      <c r="CA4" s="6">
        <v>10100</v>
      </c>
      <c r="CB4" s="6">
        <v>10200</v>
      </c>
      <c r="CC4" s="6">
        <v>10500</v>
      </c>
      <c r="CD4" s="6">
        <v>11000</v>
      </c>
      <c r="CE4" s="6">
        <v>11100</v>
      </c>
      <c r="CF4" s="6">
        <v>11200</v>
      </c>
      <c r="CG4" s="6">
        <v>12000</v>
      </c>
      <c r="CH4" s="6">
        <v>12100</v>
      </c>
      <c r="CI4" s="6">
        <v>12200</v>
      </c>
      <c r="CJ4" s="6">
        <v>12400</v>
      </c>
      <c r="CK4" s="6">
        <v>12500</v>
      </c>
      <c r="CL4" s="6">
        <v>13000</v>
      </c>
      <c r="CM4" s="6">
        <v>13200</v>
      </c>
      <c r="CN4" s="6">
        <v>13300</v>
      </c>
      <c r="CO4" s="6">
        <v>13400</v>
      </c>
      <c r="CP4" s="6">
        <v>13500</v>
      </c>
      <c r="CQ4" s="6" t="s">
        <v>166</v>
      </c>
      <c r="CR4" s="6" t="s">
        <v>170</v>
      </c>
      <c r="CS4" s="6">
        <v>7200</v>
      </c>
      <c r="CT4" s="6">
        <v>5700</v>
      </c>
      <c r="CU4" s="6" t="s">
        <v>169</v>
      </c>
    </row>
    <row r="5" spans="1:99" x14ac:dyDescent="0.3">
      <c r="A5" s="10">
        <v>1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>
        <v>24</v>
      </c>
      <c r="CS5" s="11"/>
      <c r="CT5" s="11"/>
      <c r="CU5" s="11">
        <v>24</v>
      </c>
    </row>
    <row r="6" spans="1:99" x14ac:dyDescent="0.3">
      <c r="A6" s="10">
        <v>1.5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>
        <v>18</v>
      </c>
      <c r="CS6" s="11"/>
      <c r="CT6" s="11"/>
      <c r="CU6" s="11">
        <v>18</v>
      </c>
    </row>
    <row r="7" spans="1:99" x14ac:dyDescent="0.3">
      <c r="A7" s="10">
        <v>2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>
        <v>54</v>
      </c>
      <c r="CS7" s="11"/>
      <c r="CT7" s="11"/>
      <c r="CU7" s="11">
        <v>54</v>
      </c>
    </row>
    <row r="8" spans="1:99" x14ac:dyDescent="0.3">
      <c r="A8" s="10">
        <v>3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>
        <v>48</v>
      </c>
      <c r="CS8" s="11"/>
      <c r="CT8" s="11"/>
      <c r="CU8" s="11">
        <v>48</v>
      </c>
    </row>
    <row r="9" spans="1:99" x14ac:dyDescent="0.3">
      <c r="A9" s="10">
        <v>4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>
        <v>12</v>
      </c>
      <c r="CS9" s="11"/>
      <c r="CT9" s="11"/>
      <c r="CU9" s="11">
        <v>12</v>
      </c>
    </row>
    <row r="10" spans="1:99" x14ac:dyDescent="0.3">
      <c r="A10" s="10" t="s">
        <v>151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>
        <v>20</v>
      </c>
      <c r="CR10" s="11"/>
      <c r="CS10" s="11"/>
      <c r="CT10" s="11"/>
      <c r="CU10" s="11">
        <v>20</v>
      </c>
    </row>
    <row r="11" spans="1:99" x14ac:dyDescent="0.3">
      <c r="A11" s="10" t="s">
        <v>150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>
        <v>19</v>
      </c>
      <c r="CR11" s="11"/>
      <c r="CS11" s="11"/>
      <c r="CT11" s="11"/>
      <c r="CU11" s="11">
        <v>19</v>
      </c>
    </row>
    <row r="12" spans="1:99" x14ac:dyDescent="0.3">
      <c r="A12" s="10" t="s">
        <v>158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>
        <v>49</v>
      </c>
      <c r="CR12" s="11"/>
      <c r="CS12" s="11"/>
      <c r="CT12" s="11"/>
      <c r="CU12" s="11">
        <v>49</v>
      </c>
    </row>
    <row r="13" spans="1:99" x14ac:dyDescent="0.3">
      <c r="A13" s="10" t="s">
        <v>149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>
        <v>13</v>
      </c>
      <c r="CR13" s="11"/>
      <c r="CS13" s="11"/>
      <c r="CT13" s="11"/>
      <c r="CU13" s="11">
        <v>13</v>
      </c>
    </row>
    <row r="14" spans="1:99" x14ac:dyDescent="0.3">
      <c r="A14" s="10" t="s">
        <v>157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>
        <v>11</v>
      </c>
      <c r="CR14" s="11"/>
      <c r="CS14" s="11"/>
      <c r="CT14" s="11"/>
      <c r="CU14" s="11">
        <v>11</v>
      </c>
    </row>
    <row r="15" spans="1:99" x14ac:dyDescent="0.3">
      <c r="A15" s="10" t="s">
        <v>148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>
        <v>2</v>
      </c>
      <c r="CR15" s="11"/>
      <c r="CS15" s="11"/>
      <c r="CT15" s="11"/>
      <c r="CU15" s="11">
        <v>2</v>
      </c>
    </row>
    <row r="16" spans="1:99" x14ac:dyDescent="0.3">
      <c r="A16" s="10" t="s">
        <v>156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>
        <v>43</v>
      </c>
      <c r="CR16" s="11"/>
      <c r="CS16" s="11"/>
      <c r="CT16" s="11"/>
      <c r="CU16" s="11">
        <v>43</v>
      </c>
    </row>
    <row r="17" spans="1:99" x14ac:dyDescent="0.3">
      <c r="A17" s="10" t="s">
        <v>155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>
        <v>31</v>
      </c>
      <c r="CR17" s="11"/>
      <c r="CS17" s="11"/>
      <c r="CT17" s="11"/>
      <c r="CU17" s="11">
        <v>31</v>
      </c>
    </row>
    <row r="18" spans="1:99" x14ac:dyDescent="0.3">
      <c r="A18" s="10" t="s">
        <v>154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>
        <v>18</v>
      </c>
      <c r="CR18" s="11"/>
      <c r="CS18" s="11"/>
      <c r="CT18" s="11"/>
      <c r="CU18" s="11">
        <v>18</v>
      </c>
    </row>
    <row r="19" spans="1:99" x14ac:dyDescent="0.3">
      <c r="A19" s="10" t="s">
        <v>153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>
        <v>20</v>
      </c>
      <c r="CR19" s="11"/>
      <c r="CS19" s="11"/>
      <c r="CT19" s="11"/>
      <c r="CU19" s="11">
        <v>20</v>
      </c>
    </row>
    <row r="20" spans="1:99" x14ac:dyDescent="0.3">
      <c r="A20" s="10" t="s">
        <v>152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>
        <v>16</v>
      </c>
      <c r="CR20" s="11"/>
      <c r="CS20" s="11"/>
      <c r="CT20" s="11"/>
      <c r="CU20" s="11">
        <v>16</v>
      </c>
    </row>
    <row r="21" spans="1:99" x14ac:dyDescent="0.3">
      <c r="A21" s="10" t="s">
        <v>82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>
        <v>1</v>
      </c>
      <c r="W21" s="11"/>
      <c r="X21" s="11"/>
      <c r="Y21" s="11"/>
      <c r="Z21" s="11"/>
      <c r="AA21" s="11">
        <v>1</v>
      </c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>
        <v>7</v>
      </c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>
        <v>9</v>
      </c>
    </row>
    <row r="22" spans="1:99" x14ac:dyDescent="0.3">
      <c r="A22" s="10" t="s">
        <v>53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>
        <v>2</v>
      </c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>
        <v>2</v>
      </c>
    </row>
    <row r="23" spans="1:99" x14ac:dyDescent="0.3">
      <c r="A23" s="10" t="s">
        <v>51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>
        <v>2</v>
      </c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>
        <v>13</v>
      </c>
      <c r="BV23" s="11"/>
      <c r="BW23" s="11"/>
      <c r="BX23" s="11"/>
      <c r="BY23" s="11"/>
      <c r="BZ23" s="11"/>
      <c r="CA23" s="11">
        <v>50</v>
      </c>
      <c r="CB23" s="11"/>
      <c r="CC23" s="11"/>
      <c r="CD23" s="11"/>
      <c r="CE23" s="11"/>
      <c r="CF23" s="11"/>
      <c r="CG23" s="11"/>
      <c r="CH23" s="11">
        <v>22</v>
      </c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>
        <v>87</v>
      </c>
    </row>
    <row r="24" spans="1:99" x14ac:dyDescent="0.3">
      <c r="A24" s="10" t="s">
        <v>29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v>1</v>
      </c>
      <c r="Q24" s="11"/>
      <c r="R24" s="11"/>
      <c r="S24" s="11">
        <v>1</v>
      </c>
      <c r="T24" s="11"/>
      <c r="U24" s="11"/>
      <c r="V24" s="11"/>
      <c r="W24" s="11"/>
      <c r="X24" s="11"/>
      <c r="Y24" s="11">
        <v>1</v>
      </c>
      <c r="Z24" s="11"/>
      <c r="AA24" s="11"/>
      <c r="AB24" s="11">
        <v>1</v>
      </c>
      <c r="AC24" s="11"/>
      <c r="AD24" s="11"/>
      <c r="AE24" s="11"/>
      <c r="AF24" s="11"/>
      <c r="AG24" s="11"/>
      <c r="AH24" s="11"/>
      <c r="AI24" s="11"/>
      <c r="AJ24" s="11">
        <v>1</v>
      </c>
      <c r="AK24" s="11">
        <v>1</v>
      </c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>
        <v>1</v>
      </c>
      <c r="BI24" s="11"/>
      <c r="BJ24" s="11"/>
      <c r="BK24" s="11">
        <v>8</v>
      </c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>
        <v>50</v>
      </c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>
        <v>65</v>
      </c>
    </row>
    <row r="25" spans="1:99" x14ac:dyDescent="0.3">
      <c r="A25" s="10" t="s">
        <v>23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>
        <v>1</v>
      </c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>
        <v>1</v>
      </c>
      <c r="AF25" s="11"/>
      <c r="AG25" s="11"/>
      <c r="AH25" s="11"/>
      <c r="AI25" s="11"/>
      <c r="AJ25" s="11"/>
      <c r="AK25" s="11"/>
      <c r="AL25" s="11"/>
      <c r="AM25" s="11"/>
      <c r="AN25" s="11">
        <v>1</v>
      </c>
      <c r="AO25" s="11"/>
      <c r="AP25" s="11"/>
      <c r="AQ25" s="11"/>
      <c r="AR25" s="11"/>
      <c r="AS25" s="11"/>
      <c r="AT25" s="11">
        <v>1</v>
      </c>
      <c r="AU25" s="11"/>
      <c r="AV25" s="11"/>
      <c r="AW25" s="11"/>
      <c r="AX25" s="11"/>
      <c r="AY25" s="11"/>
      <c r="AZ25" s="11"/>
      <c r="BA25" s="11">
        <v>1</v>
      </c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>
        <v>35</v>
      </c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71</v>
      </c>
      <c r="CT25" s="11"/>
      <c r="CU25" s="11">
        <v>111</v>
      </c>
    </row>
    <row r="26" spans="1:99" x14ac:dyDescent="0.3">
      <c r="A26" s="10" t="s">
        <v>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>
        <v>1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>
        <v>1</v>
      </c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>
        <v>4</v>
      </c>
      <c r="AZ26" s="11"/>
      <c r="BA26" s="11"/>
      <c r="BB26" s="11">
        <v>1</v>
      </c>
      <c r="BC26" s="11"/>
      <c r="BD26" s="11"/>
      <c r="BE26" s="11"/>
      <c r="BF26" s="11"/>
      <c r="BG26" s="11"/>
      <c r="BH26" s="11"/>
      <c r="BI26" s="11"/>
      <c r="BJ26" s="11"/>
      <c r="BK26" s="11">
        <v>20</v>
      </c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>
        <v>85</v>
      </c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>
        <v>112</v>
      </c>
    </row>
    <row r="27" spans="1:99" x14ac:dyDescent="0.3">
      <c r="A27" s="10" t="s">
        <v>41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>
        <v>3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>
        <v>2</v>
      </c>
      <c r="Y27" s="11"/>
      <c r="Z27" s="11"/>
      <c r="AA27" s="11"/>
      <c r="AB27" s="11"/>
      <c r="AC27" s="11"/>
      <c r="AD27" s="11"/>
      <c r="AE27" s="11">
        <v>4</v>
      </c>
      <c r="AF27" s="11"/>
      <c r="AG27" s="11"/>
      <c r="AH27" s="11"/>
      <c r="AI27" s="11">
        <v>2</v>
      </c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>
        <v>2</v>
      </c>
      <c r="AY27" s="11"/>
      <c r="AZ27" s="11"/>
      <c r="BA27" s="11"/>
      <c r="BB27" s="11"/>
      <c r="BC27" s="11"/>
      <c r="BD27" s="11"/>
      <c r="BE27" s="11">
        <v>1</v>
      </c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>
        <v>11</v>
      </c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>
        <v>25</v>
      </c>
    </row>
    <row r="28" spans="1:99" x14ac:dyDescent="0.3">
      <c r="A28" s="10" t="s">
        <v>9</v>
      </c>
      <c r="B28" s="11"/>
      <c r="C28" s="11"/>
      <c r="D28" s="11"/>
      <c r="E28" s="11"/>
      <c r="F28" s="11"/>
      <c r="G28" s="11"/>
      <c r="H28" s="11"/>
      <c r="I28" s="11">
        <v>1</v>
      </c>
      <c r="J28" s="11"/>
      <c r="K28" s="11"/>
      <c r="L28" s="11"/>
      <c r="M28" s="11"/>
      <c r="N28" s="11"/>
      <c r="O28" s="11"/>
      <c r="P28" s="11">
        <v>6</v>
      </c>
      <c r="Q28" s="11"/>
      <c r="R28" s="11">
        <v>4</v>
      </c>
      <c r="S28" s="11">
        <v>11</v>
      </c>
      <c r="T28" s="11"/>
      <c r="U28" s="11"/>
      <c r="V28" s="11"/>
      <c r="W28" s="11">
        <v>6</v>
      </c>
      <c r="X28" s="11"/>
      <c r="Y28" s="11">
        <v>3</v>
      </c>
      <c r="Z28" s="11">
        <v>1</v>
      </c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>
        <v>1</v>
      </c>
      <c r="AO28" s="11">
        <v>1</v>
      </c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>
        <v>18</v>
      </c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>
        <v>52</v>
      </c>
    </row>
    <row r="29" spans="1:99" x14ac:dyDescent="0.3">
      <c r="A29" s="10" t="s">
        <v>99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>
        <v>1</v>
      </c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>
        <v>1</v>
      </c>
    </row>
    <row r="30" spans="1:99" x14ac:dyDescent="0.3">
      <c r="A30" s="10" t="s">
        <v>14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>
        <v>2</v>
      </c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>
        <v>6</v>
      </c>
      <c r="CA30" s="11"/>
      <c r="CB30" s="11"/>
      <c r="CC30" s="11"/>
      <c r="CD30" s="11"/>
      <c r="CE30" s="11"/>
      <c r="CF30" s="11"/>
      <c r="CG30" s="11"/>
      <c r="CH30" s="11">
        <v>6</v>
      </c>
      <c r="CI30" s="11"/>
      <c r="CJ30" s="11"/>
      <c r="CK30" s="11"/>
      <c r="CL30" s="11">
        <v>6</v>
      </c>
      <c r="CM30" s="11"/>
      <c r="CN30" s="11"/>
      <c r="CO30" s="11">
        <v>6</v>
      </c>
      <c r="CP30" s="11"/>
      <c r="CQ30" s="11"/>
      <c r="CR30" s="11"/>
      <c r="CS30" s="11"/>
      <c r="CT30" s="11"/>
      <c r="CU30" s="11">
        <v>26</v>
      </c>
    </row>
    <row r="31" spans="1:99" x14ac:dyDescent="0.3">
      <c r="A31" s="10" t="s">
        <v>66</v>
      </c>
      <c r="B31" s="11"/>
      <c r="C31" s="11">
        <v>5</v>
      </c>
      <c r="D31" s="11"/>
      <c r="E31" s="11">
        <v>6</v>
      </c>
      <c r="F31" s="11">
        <v>1</v>
      </c>
      <c r="G31" s="11"/>
      <c r="H31" s="11">
        <v>5</v>
      </c>
      <c r="I31" s="11"/>
      <c r="J31" s="11"/>
      <c r="K31" s="11"/>
      <c r="L31" s="11">
        <v>9</v>
      </c>
      <c r="M31" s="11">
        <v>2</v>
      </c>
      <c r="N31" s="11"/>
      <c r="O31" s="11"/>
      <c r="P31" s="11">
        <v>1</v>
      </c>
      <c r="Q31" s="11">
        <v>3</v>
      </c>
      <c r="R31" s="11"/>
      <c r="S31" s="11">
        <v>4</v>
      </c>
      <c r="T31" s="11"/>
      <c r="U31" s="11"/>
      <c r="V31" s="11">
        <v>1</v>
      </c>
      <c r="W31" s="11">
        <v>1</v>
      </c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>
        <v>4</v>
      </c>
      <c r="AQ31" s="11"/>
      <c r="AR31" s="11"/>
      <c r="AS31" s="11">
        <v>1</v>
      </c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>
        <v>1</v>
      </c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>
        <v>44</v>
      </c>
    </row>
    <row r="32" spans="1:99" x14ac:dyDescent="0.3">
      <c r="A32" s="10" t="s">
        <v>40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>
        <v>1</v>
      </c>
      <c r="Q32" s="11"/>
      <c r="R32" s="11"/>
      <c r="S32" s="11"/>
      <c r="T32" s="11"/>
      <c r="U32" s="11"/>
      <c r="V32" s="11"/>
      <c r="W32" s="11">
        <v>4</v>
      </c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>
        <v>1</v>
      </c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>
        <v>1</v>
      </c>
      <c r="CN32" s="11"/>
      <c r="CO32" s="11"/>
      <c r="CP32" s="11"/>
      <c r="CQ32" s="11"/>
      <c r="CR32" s="11"/>
      <c r="CS32" s="11"/>
      <c r="CT32" s="11"/>
      <c r="CU32" s="11">
        <v>7</v>
      </c>
    </row>
    <row r="33" spans="1:99" x14ac:dyDescent="0.3">
      <c r="A33" s="10" t="s">
        <v>105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</v>
      </c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>
        <v>1</v>
      </c>
    </row>
    <row r="34" spans="1:99" x14ac:dyDescent="0.3">
      <c r="A34" s="10" t="s">
        <v>106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>
        <v>1</v>
      </c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>
        <v>1</v>
      </c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>
        <v>2</v>
      </c>
    </row>
    <row r="35" spans="1:99" x14ac:dyDescent="0.3">
      <c r="A35" s="10" t="s">
        <v>102</v>
      </c>
      <c r="B35" s="11"/>
      <c r="C35" s="11"/>
      <c r="D35" s="11"/>
      <c r="E35" s="11"/>
      <c r="F35" s="11">
        <v>1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>
        <v>1</v>
      </c>
    </row>
    <row r="36" spans="1:99" x14ac:dyDescent="0.3">
      <c r="A36" s="10" t="s">
        <v>71</v>
      </c>
      <c r="B36" s="11"/>
      <c r="C36" s="11"/>
      <c r="D36" s="11"/>
      <c r="E36" s="11"/>
      <c r="F36" s="11"/>
      <c r="G36" s="11">
        <v>1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>
        <v>2</v>
      </c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>
        <v>3</v>
      </c>
    </row>
    <row r="37" spans="1:99" x14ac:dyDescent="0.3">
      <c r="A37" s="10" t="s">
        <v>70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>
        <v>1</v>
      </c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>
        <v>2</v>
      </c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>
        <v>3</v>
      </c>
    </row>
    <row r="38" spans="1:99" x14ac:dyDescent="0.3">
      <c r="A38" s="10" t="s">
        <v>11</v>
      </c>
      <c r="B38" s="11"/>
      <c r="C38" s="11"/>
      <c r="D38" s="11"/>
      <c r="E38" s="11"/>
      <c r="F38" s="11"/>
      <c r="G38" s="11"/>
      <c r="H38" s="11"/>
      <c r="I38" s="11"/>
      <c r="J38" s="11"/>
      <c r="K38" s="11">
        <v>1</v>
      </c>
      <c r="L38" s="11"/>
      <c r="M38" s="11"/>
      <c r="N38" s="11"/>
      <c r="O38" s="11">
        <v>5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>
        <v>1</v>
      </c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>
        <v>4</v>
      </c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>
        <v>1</v>
      </c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>
        <v>8</v>
      </c>
      <c r="CI38" s="11"/>
      <c r="CJ38" s="11"/>
      <c r="CK38" s="11"/>
      <c r="CL38" s="11"/>
      <c r="CM38" s="11"/>
      <c r="CN38" s="11"/>
      <c r="CO38" s="11"/>
      <c r="CP38" s="11">
        <v>1</v>
      </c>
      <c r="CQ38" s="11"/>
      <c r="CR38" s="11"/>
      <c r="CS38" s="11"/>
      <c r="CT38" s="11"/>
      <c r="CU38" s="11">
        <v>21</v>
      </c>
    </row>
    <row r="39" spans="1:99" x14ac:dyDescent="0.3">
      <c r="A39" s="10" t="s">
        <v>73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>
        <v>1</v>
      </c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>
        <v>1</v>
      </c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>
        <v>1</v>
      </c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>
        <v>4</v>
      </c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>
        <v>7</v>
      </c>
    </row>
    <row r="40" spans="1:99" x14ac:dyDescent="0.3">
      <c r="A40" s="10" t="s">
        <v>55</v>
      </c>
      <c r="B40" s="11"/>
      <c r="C40" s="11"/>
      <c r="D40" s="11"/>
      <c r="E40" s="11"/>
      <c r="F40" s="11"/>
      <c r="G40" s="11">
        <v>1</v>
      </c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>
        <v>2</v>
      </c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>
        <v>1</v>
      </c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>
        <v>4</v>
      </c>
    </row>
    <row r="41" spans="1:99" x14ac:dyDescent="0.3">
      <c r="A41" s="10" t="s">
        <v>6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>
        <v>5</v>
      </c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>
        <v>1</v>
      </c>
      <c r="BO41" s="11">
        <v>1</v>
      </c>
      <c r="BP41" s="11"/>
      <c r="BQ41" s="11"/>
      <c r="BR41" s="11"/>
      <c r="BS41" s="11">
        <v>1</v>
      </c>
      <c r="BT41" s="11"/>
      <c r="BU41" s="11"/>
      <c r="BV41" s="11">
        <v>1</v>
      </c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>
        <v>4</v>
      </c>
      <c r="CI41" s="11">
        <v>8</v>
      </c>
      <c r="CJ41" s="11">
        <v>2</v>
      </c>
      <c r="CK41" s="11"/>
      <c r="CL41" s="11"/>
      <c r="CM41" s="11"/>
      <c r="CN41" s="11"/>
      <c r="CO41" s="11"/>
      <c r="CP41" s="11">
        <v>6</v>
      </c>
      <c r="CQ41" s="11"/>
      <c r="CR41" s="11"/>
      <c r="CS41" s="11"/>
      <c r="CT41" s="11"/>
      <c r="CU41" s="11">
        <v>29</v>
      </c>
    </row>
    <row r="42" spans="1:99" x14ac:dyDescent="0.3">
      <c r="A42" s="10" t="s">
        <v>7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>
        <v>1</v>
      </c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>
        <v>10</v>
      </c>
      <c r="BU42" s="11"/>
      <c r="BV42" s="11"/>
      <c r="BW42" s="11"/>
      <c r="BX42" s="11"/>
      <c r="BY42" s="11"/>
      <c r="BZ42" s="11"/>
      <c r="CA42" s="11"/>
      <c r="CB42" s="11"/>
      <c r="CC42" s="11">
        <v>5</v>
      </c>
      <c r="CD42" s="11"/>
      <c r="CE42" s="11"/>
      <c r="CF42" s="11"/>
      <c r="CG42" s="11"/>
      <c r="CH42" s="11">
        <v>8</v>
      </c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>
        <v>24</v>
      </c>
    </row>
    <row r="43" spans="1:99" x14ac:dyDescent="0.3">
      <c r="A43" s="10" t="s">
        <v>8</v>
      </c>
      <c r="B43" s="11"/>
      <c r="C43" s="11"/>
      <c r="D43" s="11"/>
      <c r="E43" s="11"/>
      <c r="F43" s="11"/>
      <c r="G43" s="11"/>
      <c r="H43" s="11"/>
      <c r="I43" s="11"/>
      <c r="J43" s="11">
        <v>3</v>
      </c>
      <c r="K43" s="11"/>
      <c r="L43" s="11"/>
      <c r="M43" s="11"/>
      <c r="N43" s="11"/>
      <c r="O43" s="11"/>
      <c r="P43" s="11">
        <v>1</v>
      </c>
      <c r="Q43" s="11"/>
      <c r="R43" s="11"/>
      <c r="S43" s="11"/>
      <c r="T43" s="11"/>
      <c r="U43" s="11"/>
      <c r="V43" s="11"/>
      <c r="W43" s="11"/>
      <c r="X43" s="11">
        <v>1</v>
      </c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>
        <v>3</v>
      </c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>
        <v>2</v>
      </c>
      <c r="AW43" s="11">
        <v>1</v>
      </c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>
        <v>10</v>
      </c>
      <c r="BS43" s="11"/>
      <c r="BT43" s="11"/>
      <c r="BU43" s="11"/>
      <c r="BV43" s="11">
        <v>3</v>
      </c>
      <c r="BW43" s="11"/>
      <c r="BX43" s="11"/>
      <c r="BY43" s="11"/>
      <c r="BZ43" s="11"/>
      <c r="CA43" s="11"/>
      <c r="CB43" s="11"/>
      <c r="CC43" s="11"/>
      <c r="CD43" s="11"/>
      <c r="CE43" s="11">
        <v>3</v>
      </c>
      <c r="CF43" s="11"/>
      <c r="CG43" s="11"/>
      <c r="CH43" s="11">
        <v>6</v>
      </c>
      <c r="CI43" s="11"/>
      <c r="CJ43" s="11">
        <v>2</v>
      </c>
      <c r="CK43" s="11">
        <v>1</v>
      </c>
      <c r="CL43" s="11"/>
      <c r="CM43" s="11"/>
      <c r="CN43" s="11"/>
      <c r="CO43" s="11"/>
      <c r="CP43" s="11">
        <v>3</v>
      </c>
      <c r="CQ43" s="11"/>
      <c r="CR43" s="11"/>
      <c r="CS43" s="11"/>
      <c r="CT43" s="11"/>
      <c r="CU43" s="11">
        <v>39</v>
      </c>
    </row>
    <row r="44" spans="1:99" x14ac:dyDescent="0.3">
      <c r="A44" s="10" t="s">
        <v>77</v>
      </c>
      <c r="B44" s="11"/>
      <c r="C44" s="11"/>
      <c r="D44" s="11"/>
      <c r="E44" s="11"/>
      <c r="F44" s="11"/>
      <c r="G44" s="11"/>
      <c r="H44" s="11"/>
      <c r="I44" s="11"/>
      <c r="J44" s="11"/>
      <c r="K44" s="11">
        <v>2</v>
      </c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>
        <v>4</v>
      </c>
      <c r="Y44" s="11"/>
      <c r="Z44" s="11"/>
      <c r="AA44" s="11"/>
      <c r="AB44" s="11"/>
      <c r="AC44" s="11">
        <v>1</v>
      </c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>
        <v>1</v>
      </c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>
        <v>1</v>
      </c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>
        <v>9</v>
      </c>
    </row>
    <row r="45" spans="1:99" x14ac:dyDescent="0.3">
      <c r="A45" s="10" t="s">
        <v>75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>
        <v>1</v>
      </c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>
        <v>1</v>
      </c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>
        <v>4</v>
      </c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>
        <v>6</v>
      </c>
    </row>
    <row r="46" spans="1:99" x14ac:dyDescent="0.3">
      <c r="A46" s="10" t="s">
        <v>74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>
        <v>1</v>
      </c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>
        <v>4</v>
      </c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>
        <v>1</v>
      </c>
      <c r="BX46" s="11"/>
      <c r="BY46" s="11"/>
      <c r="BZ46" s="11"/>
      <c r="CA46" s="11"/>
      <c r="CB46" s="11"/>
      <c r="CC46" s="11"/>
      <c r="CD46" s="11"/>
      <c r="CE46" s="11"/>
      <c r="CF46" s="11">
        <v>1</v>
      </c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>
        <v>7</v>
      </c>
    </row>
    <row r="47" spans="1:99" x14ac:dyDescent="0.3">
      <c r="A47" s="10" t="s">
        <v>96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>
        <v>1</v>
      </c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>
        <v>2</v>
      </c>
    </row>
    <row r="48" spans="1:99" x14ac:dyDescent="0.3">
      <c r="A48" s="10" t="s">
        <v>72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>
        <v>1</v>
      </c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>
        <v>1</v>
      </c>
    </row>
    <row r="49" spans="1:99" x14ac:dyDescent="0.3">
      <c r="A49" s="10" t="s">
        <v>107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>
        <v>1</v>
      </c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>
        <v>5</v>
      </c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>
        <v>6</v>
      </c>
    </row>
    <row r="50" spans="1:99" x14ac:dyDescent="0.3">
      <c r="A50" s="10" t="s">
        <v>61</v>
      </c>
      <c r="B50" s="11"/>
      <c r="C50" s="11"/>
      <c r="D50" s="11">
        <v>1</v>
      </c>
      <c r="E50" s="11"/>
      <c r="F50" s="11"/>
      <c r="G50" s="11"/>
      <c r="H50" s="11">
        <v>1</v>
      </c>
      <c r="I50" s="11"/>
      <c r="J50" s="11"/>
      <c r="K50" s="11"/>
      <c r="L50" s="11"/>
      <c r="M50" s="11"/>
      <c r="N50" s="11"/>
      <c r="O50" s="11"/>
      <c r="P50" s="11">
        <v>1</v>
      </c>
      <c r="Q50" s="11"/>
      <c r="R50" s="11"/>
      <c r="S50" s="11"/>
      <c r="T50" s="11"/>
      <c r="U50" s="11"/>
      <c r="V50" s="11"/>
      <c r="W50" s="11"/>
      <c r="X50" s="11">
        <v>1</v>
      </c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>
        <v>0</v>
      </c>
      <c r="AY50" s="11"/>
      <c r="AZ50" s="11"/>
      <c r="BA50" s="11"/>
      <c r="BB50" s="11"/>
      <c r="BC50" s="11"/>
      <c r="BD50" s="11"/>
      <c r="BE50" s="11">
        <v>0</v>
      </c>
      <c r="BF50" s="11"/>
      <c r="BG50" s="11"/>
      <c r="BH50" s="11"/>
      <c r="BI50" s="11"/>
      <c r="BJ50" s="11">
        <v>0</v>
      </c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>
        <v>0</v>
      </c>
      <c r="BZ50" s="11"/>
      <c r="CA50" s="11"/>
      <c r="CB50" s="11">
        <v>0</v>
      </c>
      <c r="CC50" s="11"/>
      <c r="CD50" s="11">
        <v>0</v>
      </c>
      <c r="CE50" s="11"/>
      <c r="CF50" s="11"/>
      <c r="CG50" s="11"/>
      <c r="CH50" s="11">
        <v>0</v>
      </c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>
        <v>4</v>
      </c>
    </row>
    <row r="51" spans="1:99" x14ac:dyDescent="0.3">
      <c r="A51" s="10" t="s">
        <v>68</v>
      </c>
      <c r="B51" s="11"/>
      <c r="C51" s="11"/>
      <c r="D51" s="11">
        <v>1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>
        <v>1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>
        <v>1</v>
      </c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>
        <v>3</v>
      </c>
    </row>
    <row r="52" spans="1:99" x14ac:dyDescent="0.3">
      <c r="A52" s="10" t="s">
        <v>69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>
        <v>1</v>
      </c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>
        <v>1</v>
      </c>
    </row>
    <row r="53" spans="1:99" x14ac:dyDescent="0.3">
      <c r="A53" s="10" t="s">
        <v>104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v>4</v>
      </c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>
        <v>4</v>
      </c>
    </row>
    <row r="54" spans="1:99" x14ac:dyDescent="0.3">
      <c r="A54" s="10" t="s">
        <v>108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>
        <v>1</v>
      </c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>
        <v>1</v>
      </c>
    </row>
    <row r="55" spans="1:99" x14ac:dyDescent="0.3">
      <c r="A55" s="10" t="s">
        <v>5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>
        <v>1</v>
      </c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>
        <v>3</v>
      </c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>
        <v>4</v>
      </c>
    </row>
    <row r="56" spans="1:99" x14ac:dyDescent="0.3">
      <c r="A56" s="10" t="s">
        <v>80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>
        <v>19</v>
      </c>
      <c r="P56" s="11"/>
      <c r="Q56" s="11"/>
      <c r="R56" s="11"/>
      <c r="S56" s="11"/>
      <c r="T56" s="11"/>
      <c r="U56" s="11"/>
      <c r="V56" s="11">
        <v>9</v>
      </c>
      <c r="W56" s="11"/>
      <c r="X56" s="11"/>
      <c r="Y56" s="11"/>
      <c r="Z56" s="11"/>
      <c r="AA56" s="11">
        <v>2</v>
      </c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>
        <v>1</v>
      </c>
      <c r="AS56" s="11"/>
      <c r="AT56" s="11"/>
      <c r="AU56" s="11"/>
      <c r="AV56" s="11"/>
      <c r="AW56" s="11"/>
      <c r="AX56" s="11"/>
      <c r="AY56" s="11"/>
      <c r="AZ56" s="11"/>
      <c r="BA56" s="11"/>
      <c r="BB56" s="11">
        <v>4</v>
      </c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>
        <v>15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>
        <v>51</v>
      </c>
    </row>
    <row r="57" spans="1:99" x14ac:dyDescent="0.3">
      <c r="A57" s="10" t="s">
        <v>58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>
        <v>5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>
        <v>5</v>
      </c>
    </row>
    <row r="58" spans="1:99" x14ac:dyDescent="0.3">
      <c r="A58" s="10" t="s">
        <v>56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>
        <v>7</v>
      </c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>
        <v>1</v>
      </c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>
        <v>3</v>
      </c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>
        <v>11</v>
      </c>
    </row>
    <row r="59" spans="1:99" x14ac:dyDescent="0.3">
      <c r="A59" s="10" t="s">
        <v>31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>
        <v>7</v>
      </c>
      <c r="N59" s="11"/>
      <c r="O59" s="11"/>
      <c r="P59" s="11"/>
      <c r="Q59" s="11"/>
      <c r="R59" s="11"/>
      <c r="S59" s="11">
        <v>5</v>
      </c>
      <c r="T59" s="11"/>
      <c r="U59" s="11"/>
      <c r="V59" s="11"/>
      <c r="W59" s="11"/>
      <c r="X59" s="11"/>
      <c r="Y59" s="11"/>
      <c r="Z59" s="11"/>
      <c r="AA59" s="11"/>
      <c r="AB59" s="11"/>
      <c r="AC59" s="11">
        <v>1</v>
      </c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>
        <v>1</v>
      </c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4</v>
      </c>
      <c r="CB59" s="11"/>
      <c r="CC59" s="11"/>
      <c r="CD59" s="11"/>
      <c r="CE59" s="11"/>
      <c r="CF59" s="11"/>
      <c r="CG59" s="11"/>
      <c r="CH59" s="11">
        <v>11</v>
      </c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>
        <v>10</v>
      </c>
      <c r="CT59" s="11">
        <v>1</v>
      </c>
      <c r="CU59" s="11">
        <v>40</v>
      </c>
    </row>
    <row r="60" spans="1:99" x14ac:dyDescent="0.3">
      <c r="A60" s="10" t="s">
        <v>52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>
        <v>1</v>
      </c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>
        <v>1</v>
      </c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>
        <v>7</v>
      </c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>
        <v>9</v>
      </c>
    </row>
    <row r="61" spans="1:99" x14ac:dyDescent="0.3">
      <c r="A61" s="10" t="s">
        <v>44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>
        <v>1</v>
      </c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>
        <v>1</v>
      </c>
      <c r="BC61" s="11"/>
      <c r="BD61" s="11"/>
      <c r="BE61" s="11"/>
      <c r="BF61" s="11"/>
      <c r="BG61" s="11"/>
      <c r="BH61" s="11">
        <v>1</v>
      </c>
      <c r="BI61" s="11"/>
      <c r="BJ61" s="11"/>
      <c r="BK61" s="11">
        <v>1</v>
      </c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>
        <v>14</v>
      </c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>
        <v>18</v>
      </c>
    </row>
    <row r="62" spans="1:99" x14ac:dyDescent="0.3">
      <c r="A62" s="10" t="s">
        <v>39</v>
      </c>
      <c r="B62" s="11"/>
      <c r="C62" s="11">
        <v>3</v>
      </c>
      <c r="D62" s="11"/>
      <c r="E62" s="11"/>
      <c r="F62" s="11"/>
      <c r="G62" s="11"/>
      <c r="H62" s="11"/>
      <c r="I62" s="11"/>
      <c r="J62" s="11"/>
      <c r="K62" s="11"/>
      <c r="L62" s="11"/>
      <c r="M62" s="11">
        <v>1</v>
      </c>
      <c r="N62" s="11"/>
      <c r="O62" s="11"/>
      <c r="P62" s="11">
        <v>1</v>
      </c>
      <c r="Q62" s="11"/>
      <c r="R62" s="11"/>
      <c r="S62" s="11">
        <v>1</v>
      </c>
      <c r="T62" s="11">
        <v>2</v>
      </c>
      <c r="U62" s="11"/>
      <c r="V62" s="11">
        <v>1</v>
      </c>
      <c r="W62" s="11"/>
      <c r="X62" s="11"/>
      <c r="Y62" s="11"/>
      <c r="Z62" s="11"/>
      <c r="AA62" s="11">
        <v>1</v>
      </c>
      <c r="AB62" s="11"/>
      <c r="AC62" s="11"/>
      <c r="AD62" s="11">
        <v>2</v>
      </c>
      <c r="AE62" s="11"/>
      <c r="AF62" s="11">
        <v>1</v>
      </c>
      <c r="AG62" s="11"/>
      <c r="AH62" s="11">
        <v>2</v>
      </c>
      <c r="AI62" s="11"/>
      <c r="AJ62" s="11"/>
      <c r="AK62" s="11"/>
      <c r="AL62" s="11"/>
      <c r="AM62" s="11">
        <v>5</v>
      </c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>
        <v>1</v>
      </c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>
        <v>17</v>
      </c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>
        <v>38</v>
      </c>
    </row>
    <row r="63" spans="1:99" x14ac:dyDescent="0.3">
      <c r="A63" s="10" t="s">
        <v>57</v>
      </c>
      <c r="B63" s="11"/>
      <c r="C63" s="11"/>
      <c r="D63" s="11"/>
      <c r="E63" s="11"/>
      <c r="F63" s="11"/>
      <c r="G63" s="11"/>
      <c r="H63" s="11"/>
      <c r="I63" s="11">
        <v>5</v>
      </c>
      <c r="J63" s="11"/>
      <c r="K63" s="11"/>
      <c r="L63" s="11"/>
      <c r="M63" s="11"/>
      <c r="N63" s="11"/>
      <c r="O63" s="11"/>
      <c r="P63" s="11"/>
      <c r="Q63" s="11"/>
      <c r="R63" s="11">
        <v>3</v>
      </c>
      <c r="S63" s="11">
        <v>1</v>
      </c>
      <c r="T63" s="11"/>
      <c r="U63" s="11"/>
      <c r="V63" s="11"/>
      <c r="W63" s="11"/>
      <c r="X63" s="11"/>
      <c r="Y63" s="11"/>
      <c r="Z63" s="11"/>
      <c r="AA63" s="11">
        <v>1</v>
      </c>
      <c r="AB63" s="11"/>
      <c r="AC63" s="11"/>
      <c r="AD63" s="11"/>
      <c r="AE63" s="11">
        <v>1</v>
      </c>
      <c r="AF63" s="11"/>
      <c r="AG63" s="11"/>
      <c r="AH63" s="11"/>
      <c r="AI63" s="11"/>
      <c r="AJ63" s="11"/>
      <c r="AK63" s="11"/>
      <c r="AL63" s="11"/>
      <c r="AM63" s="11"/>
      <c r="AN63" s="11">
        <v>1</v>
      </c>
      <c r="AO63" s="11"/>
      <c r="AP63" s="11"/>
      <c r="AQ63" s="11"/>
      <c r="AR63" s="11">
        <v>16</v>
      </c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>
        <v>2</v>
      </c>
      <c r="CB63" s="11"/>
      <c r="CC63" s="11"/>
      <c r="CD63" s="11"/>
      <c r="CE63" s="11"/>
      <c r="CF63" s="11"/>
      <c r="CG63" s="11"/>
      <c r="CH63" s="11">
        <v>1</v>
      </c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>
        <v>31</v>
      </c>
    </row>
    <row r="64" spans="1:99" x14ac:dyDescent="0.3">
      <c r="A64" s="10" t="s">
        <v>47</v>
      </c>
      <c r="B64" s="11"/>
      <c r="C64" s="11"/>
      <c r="D64" s="11">
        <v>1</v>
      </c>
      <c r="E64" s="11"/>
      <c r="F64" s="11">
        <v>1</v>
      </c>
      <c r="G64" s="11"/>
      <c r="H64" s="11"/>
      <c r="I64" s="11"/>
      <c r="J64" s="11"/>
      <c r="K64" s="11">
        <v>6</v>
      </c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>
        <v>1</v>
      </c>
      <c r="AB64" s="11"/>
      <c r="AC64" s="11"/>
      <c r="AD64" s="11"/>
      <c r="AE64" s="11"/>
      <c r="AF64" s="11"/>
      <c r="AG64" s="11"/>
      <c r="AH64" s="11"/>
      <c r="AI64" s="11"/>
      <c r="AJ64" s="11">
        <v>12</v>
      </c>
      <c r="AK64" s="11">
        <v>1</v>
      </c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>
        <v>1</v>
      </c>
      <c r="BD64" s="11"/>
      <c r="BE64" s="11"/>
      <c r="BF64" s="11"/>
      <c r="BG64" s="11"/>
      <c r="BH64" s="11"/>
      <c r="BI64" s="11"/>
      <c r="BJ64" s="11"/>
      <c r="BK64" s="11">
        <v>1</v>
      </c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>
        <v>10</v>
      </c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>
        <v>34</v>
      </c>
    </row>
    <row r="65" spans="1:99" x14ac:dyDescent="0.3">
      <c r="A65" s="10" t="s">
        <v>35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>
        <v>3</v>
      </c>
      <c r="CI65" s="11"/>
      <c r="CJ65" s="11"/>
      <c r="CK65" s="11"/>
      <c r="CL65" s="11"/>
      <c r="CM65" s="11"/>
      <c r="CN65" s="11">
        <v>4</v>
      </c>
      <c r="CO65" s="11"/>
      <c r="CP65" s="11"/>
      <c r="CQ65" s="11"/>
      <c r="CR65" s="11"/>
      <c r="CS65" s="11"/>
      <c r="CT65" s="11"/>
      <c r="CU65" s="11">
        <v>7</v>
      </c>
    </row>
    <row r="66" spans="1:99" x14ac:dyDescent="0.3">
      <c r="A66" s="10" t="s">
        <v>97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>
        <v>1</v>
      </c>
      <c r="Y66" s="11"/>
      <c r="Z66" s="11"/>
      <c r="AA66" s="11"/>
      <c r="AB66" s="11"/>
      <c r="AC66" s="11"/>
      <c r="AD66" s="11"/>
      <c r="AE66" s="11"/>
      <c r="AF66" s="11"/>
      <c r="AG66" s="11">
        <v>1</v>
      </c>
      <c r="AH66" s="11"/>
      <c r="AI66" s="11"/>
      <c r="AJ66" s="11">
        <v>1</v>
      </c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>
        <v>5</v>
      </c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>
        <v>1</v>
      </c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>
        <v>9</v>
      </c>
    </row>
    <row r="67" spans="1:99" x14ac:dyDescent="0.3">
      <c r="A67" s="10" t="s">
        <v>86</v>
      </c>
      <c r="B67" s="11"/>
      <c r="C67" s="11"/>
      <c r="D67" s="11"/>
      <c r="E67" s="11"/>
      <c r="F67" s="11"/>
      <c r="G67" s="11">
        <v>1</v>
      </c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>
        <v>11</v>
      </c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>
        <v>12</v>
      </c>
    </row>
    <row r="68" spans="1:99" x14ac:dyDescent="0.3">
      <c r="A68" s="10" t="s">
        <v>79</v>
      </c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>
        <v>1</v>
      </c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>
        <v>1</v>
      </c>
    </row>
    <row r="69" spans="1:99" x14ac:dyDescent="0.3">
      <c r="A69" s="10" t="s">
        <v>115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>
        <v>4</v>
      </c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>
        <v>4</v>
      </c>
    </row>
    <row r="70" spans="1:99" x14ac:dyDescent="0.3">
      <c r="A70" s="10" t="s">
        <v>159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>
        <v>16</v>
      </c>
      <c r="CS70" s="11"/>
      <c r="CT70" s="11"/>
      <c r="CU70" s="11">
        <v>16</v>
      </c>
    </row>
    <row r="71" spans="1:99" x14ac:dyDescent="0.3">
      <c r="A71" s="10" t="s">
        <v>160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>
        <v>28</v>
      </c>
      <c r="CS71" s="11"/>
      <c r="CT71" s="11"/>
      <c r="CU71" s="11">
        <v>28</v>
      </c>
    </row>
    <row r="72" spans="1:99" x14ac:dyDescent="0.3">
      <c r="A72" s="10" t="s">
        <v>161</v>
      </c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>
        <v>48</v>
      </c>
      <c r="CS72" s="11"/>
      <c r="CT72" s="11"/>
      <c r="CU72" s="11">
        <v>48</v>
      </c>
    </row>
    <row r="73" spans="1:99" x14ac:dyDescent="0.3">
      <c r="A73" s="10" t="s">
        <v>140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>
        <v>49</v>
      </c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>
        <v>49</v>
      </c>
    </row>
    <row r="74" spans="1:99" x14ac:dyDescent="0.3">
      <c r="A74" s="10" t="s">
        <v>143</v>
      </c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>
        <v>4</v>
      </c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>
        <v>4</v>
      </c>
    </row>
    <row r="75" spans="1:99" x14ac:dyDescent="0.3">
      <c r="A75" s="10" t="s">
        <v>136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>
        <v>11</v>
      </c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>
        <v>8</v>
      </c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>
        <v>19</v>
      </c>
    </row>
    <row r="76" spans="1:99" x14ac:dyDescent="0.3">
      <c r="A76" s="10" t="s">
        <v>133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>
        <v>16</v>
      </c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>
        <v>16</v>
      </c>
    </row>
    <row r="77" spans="1:99" x14ac:dyDescent="0.3">
      <c r="A77" s="10" t="s">
        <v>139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>
        <v>37</v>
      </c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>
        <v>37</v>
      </c>
    </row>
    <row r="78" spans="1:99" x14ac:dyDescent="0.3">
      <c r="A78" s="10" t="s">
        <v>134</v>
      </c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>
        <v>53</v>
      </c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>
        <v>53</v>
      </c>
    </row>
    <row r="79" spans="1:99" x14ac:dyDescent="0.3">
      <c r="A79" s="10" t="s">
        <v>137</v>
      </c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>
        <v>32</v>
      </c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>
        <v>19</v>
      </c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>
        <v>51</v>
      </c>
    </row>
    <row r="80" spans="1:99" x14ac:dyDescent="0.3">
      <c r="A80" s="10" t="s">
        <v>141</v>
      </c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>
        <v>56</v>
      </c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>
        <v>56</v>
      </c>
    </row>
    <row r="81" spans="1:99" x14ac:dyDescent="0.3">
      <c r="A81" s="10" t="s">
        <v>138</v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>
        <v>77</v>
      </c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>
        <v>77</v>
      </c>
    </row>
    <row r="82" spans="1:99" x14ac:dyDescent="0.3">
      <c r="A82" s="10" t="s">
        <v>142</v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>
        <v>38</v>
      </c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>
        <v>38</v>
      </c>
    </row>
    <row r="83" spans="1:99" x14ac:dyDescent="0.3">
      <c r="A83" s="10" t="s">
        <v>164</v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>
        <v>2</v>
      </c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>
        <v>2</v>
      </c>
    </row>
    <row r="84" spans="1:99" x14ac:dyDescent="0.3">
      <c r="A84" s="10" t="s">
        <v>132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>
        <v>159</v>
      </c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>
        <v>159</v>
      </c>
    </row>
    <row r="85" spans="1:99" x14ac:dyDescent="0.3">
      <c r="A85" s="10" t="s">
        <v>129</v>
      </c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>
        <v>155</v>
      </c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>
        <v>155</v>
      </c>
    </row>
    <row r="86" spans="1:99" x14ac:dyDescent="0.3">
      <c r="A86" s="10" t="s">
        <v>131</v>
      </c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>
        <v>61</v>
      </c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>
        <v>61</v>
      </c>
    </row>
    <row r="87" spans="1:99" x14ac:dyDescent="0.3">
      <c r="A87" s="10" t="s">
        <v>32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>
        <v>11</v>
      </c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>
        <v>7</v>
      </c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>
        <v>18</v>
      </c>
    </row>
    <row r="88" spans="1:99" x14ac:dyDescent="0.3">
      <c r="A88" s="10" t="s">
        <v>63</v>
      </c>
      <c r="B88" s="11">
        <v>1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>
        <v>15</v>
      </c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>
        <v>16</v>
      </c>
    </row>
    <row r="89" spans="1:99" x14ac:dyDescent="0.3">
      <c r="A89" s="10" t="s">
        <v>24</v>
      </c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>
        <v>1</v>
      </c>
      <c r="BK89" s="11"/>
      <c r="BL89" s="11"/>
      <c r="BM89" s="11"/>
      <c r="BN89" s="11"/>
      <c r="BO89" s="11"/>
      <c r="BP89" s="11"/>
      <c r="BQ89" s="11"/>
      <c r="BR89" s="11"/>
      <c r="BS89" s="11"/>
      <c r="BT89" s="11">
        <v>128</v>
      </c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>
        <v>12</v>
      </c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>
        <v>141</v>
      </c>
    </row>
    <row r="90" spans="1:99" x14ac:dyDescent="0.3">
      <c r="A90" s="10" t="s">
        <v>37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>
        <v>1</v>
      </c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>
        <v>1</v>
      </c>
      <c r="CA90" s="11"/>
      <c r="CB90" s="11"/>
      <c r="CC90" s="11"/>
      <c r="CD90" s="11"/>
      <c r="CE90" s="11"/>
      <c r="CF90" s="11"/>
      <c r="CG90" s="11"/>
      <c r="CH90" s="11">
        <v>45</v>
      </c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>
        <v>47</v>
      </c>
    </row>
    <row r="91" spans="1:99" x14ac:dyDescent="0.3">
      <c r="A91" s="10" t="s">
        <v>26</v>
      </c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>
        <v>24</v>
      </c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>
        <v>2</v>
      </c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>
        <v>26</v>
      </c>
    </row>
    <row r="92" spans="1:99" x14ac:dyDescent="0.3">
      <c r="A92" s="10" t="s">
        <v>83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>
        <v>2</v>
      </c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>
        <v>2</v>
      </c>
    </row>
    <row r="93" spans="1:99" x14ac:dyDescent="0.3">
      <c r="A93" s="10" t="s">
        <v>50</v>
      </c>
      <c r="B93" s="11"/>
      <c r="C93" s="11"/>
      <c r="D93" s="11"/>
      <c r="E93" s="11"/>
      <c r="F93" s="11"/>
      <c r="G93" s="11"/>
      <c r="H93" s="11"/>
      <c r="I93" s="11"/>
      <c r="J93" s="11"/>
      <c r="K93" s="11">
        <v>1</v>
      </c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>
        <v>1</v>
      </c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>
        <v>76</v>
      </c>
      <c r="BU93" s="11"/>
      <c r="BV93" s="11"/>
      <c r="BW93" s="11"/>
      <c r="BX93" s="11">
        <v>21</v>
      </c>
      <c r="BY93" s="11"/>
      <c r="BZ93" s="11"/>
      <c r="CA93" s="11"/>
      <c r="CB93" s="11"/>
      <c r="CC93" s="11"/>
      <c r="CD93" s="11"/>
      <c r="CE93" s="11"/>
      <c r="CF93" s="11"/>
      <c r="CG93" s="11"/>
      <c r="CH93" s="11">
        <v>5</v>
      </c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>
        <v>104</v>
      </c>
    </row>
    <row r="94" spans="1:99" x14ac:dyDescent="0.3">
      <c r="A94" s="10" t="s">
        <v>10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>
        <v>2</v>
      </c>
      <c r="AC94" s="11"/>
      <c r="AD94" s="11"/>
      <c r="AE94" s="11"/>
      <c r="AF94" s="11"/>
      <c r="AG94" s="11"/>
      <c r="AH94" s="11"/>
      <c r="AI94" s="11">
        <v>1</v>
      </c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>
        <v>1</v>
      </c>
      <c r="AW94" s="11"/>
      <c r="AX94" s="11"/>
      <c r="AY94" s="11"/>
      <c r="AZ94" s="11"/>
      <c r="BA94" s="11"/>
      <c r="BB94" s="11"/>
      <c r="BC94" s="11"/>
      <c r="BD94" s="11">
        <v>1</v>
      </c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>
        <v>7</v>
      </c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>
        <v>12</v>
      </c>
    </row>
    <row r="95" spans="1:99" x14ac:dyDescent="0.3">
      <c r="A95" s="10" t="s">
        <v>81</v>
      </c>
      <c r="B95" s="11"/>
      <c r="C95" s="11"/>
      <c r="D95" s="11"/>
      <c r="E95" s="11"/>
      <c r="F95" s="11"/>
      <c r="G95" s="11"/>
      <c r="H95" s="11"/>
      <c r="I95" s="11"/>
      <c r="J95" s="11"/>
      <c r="K95" s="11">
        <v>1</v>
      </c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>
        <v>1</v>
      </c>
      <c r="AM95" s="11"/>
      <c r="AN95" s="11"/>
      <c r="AO95" s="11">
        <v>1</v>
      </c>
      <c r="AP95" s="11"/>
      <c r="AQ95" s="11"/>
      <c r="AR95" s="11"/>
      <c r="AS95" s="11">
        <v>1</v>
      </c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>
        <v>5</v>
      </c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>
        <v>4</v>
      </c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>
        <v>13</v>
      </c>
    </row>
    <row r="96" spans="1:99" x14ac:dyDescent="0.3">
      <c r="A96" s="10" t="s">
        <v>85</v>
      </c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>
        <v>1</v>
      </c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>
        <v>4</v>
      </c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>
        <v>5</v>
      </c>
    </row>
    <row r="97" spans="1:99" x14ac:dyDescent="0.3">
      <c r="A97" s="10" t="s">
        <v>67</v>
      </c>
      <c r="B97" s="11"/>
      <c r="C97" s="11"/>
      <c r="D97" s="11"/>
      <c r="E97" s="11"/>
      <c r="F97" s="11"/>
      <c r="G97" s="11">
        <v>1</v>
      </c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>
        <v>1</v>
      </c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>
        <v>1</v>
      </c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>
        <v>3</v>
      </c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>
        <v>6</v>
      </c>
    </row>
    <row r="98" spans="1:99" x14ac:dyDescent="0.3">
      <c r="A98" s="10" t="s">
        <v>98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>
        <v>3</v>
      </c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>
        <v>3</v>
      </c>
    </row>
    <row r="99" spans="1:99" x14ac:dyDescent="0.3">
      <c r="A99" s="10" t="s">
        <v>103</v>
      </c>
      <c r="B99" s="11"/>
      <c r="C99" s="11"/>
      <c r="D99" s="11"/>
      <c r="E99" s="11"/>
      <c r="F99" s="11"/>
      <c r="G99" s="11"/>
      <c r="H99" s="11"/>
      <c r="I99" s="11"/>
      <c r="J99" s="11"/>
      <c r="K99" s="11">
        <v>1</v>
      </c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>
        <v>1</v>
      </c>
    </row>
    <row r="100" spans="1:99" x14ac:dyDescent="0.3">
      <c r="A100" s="10" t="s">
        <v>34</v>
      </c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>
        <v>6</v>
      </c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>
        <v>6</v>
      </c>
    </row>
    <row r="101" spans="1:99" x14ac:dyDescent="0.3">
      <c r="A101" s="10" t="s">
        <v>28</v>
      </c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>
        <v>11</v>
      </c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>
        <v>11</v>
      </c>
    </row>
    <row r="102" spans="1:99" x14ac:dyDescent="0.3">
      <c r="A102" s="10" t="s">
        <v>22</v>
      </c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>
        <v>40</v>
      </c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>
        <v>40</v>
      </c>
    </row>
    <row r="103" spans="1:99" x14ac:dyDescent="0.3">
      <c r="A103" s="10" t="s">
        <v>183</v>
      </c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>
        <v>58.953642384105962</v>
      </c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>
        <v>58.953642384105962</v>
      </c>
    </row>
    <row r="104" spans="1:99" x14ac:dyDescent="0.3">
      <c r="A104" s="10" t="s">
        <v>184</v>
      </c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>
        <v>126.40449438202246</v>
      </c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>
        <v>126.40449438202246</v>
      </c>
    </row>
    <row r="105" spans="1:99" x14ac:dyDescent="0.3">
      <c r="A105" s="10" t="s">
        <v>185</v>
      </c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>
        <v>16</v>
      </c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>
        <v>25</v>
      </c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>
        <v>41</v>
      </c>
    </row>
    <row r="106" spans="1:99" x14ac:dyDescent="0.3">
      <c r="A106" s="10" t="s">
        <v>186</v>
      </c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>
        <v>5</v>
      </c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>
        <v>5</v>
      </c>
    </row>
    <row r="107" spans="1:99" x14ac:dyDescent="0.3">
      <c r="A107" s="10" t="s">
        <v>187</v>
      </c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>
        <v>21</v>
      </c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>
        <v>21</v>
      </c>
    </row>
    <row r="108" spans="1:99" x14ac:dyDescent="0.3">
      <c r="A108" s="10" t="s">
        <v>188</v>
      </c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>
        <v>10</v>
      </c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>
        <v>10</v>
      </c>
    </row>
    <row r="109" spans="1:99" x14ac:dyDescent="0.3">
      <c r="A109" s="10" t="s">
        <v>189</v>
      </c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>
        <v>2</v>
      </c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>
        <v>2</v>
      </c>
    </row>
    <row r="110" spans="1:99" x14ac:dyDescent="0.3">
      <c r="A110" s="10" t="s">
        <v>190</v>
      </c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>
        <v>14</v>
      </c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>
        <v>14</v>
      </c>
    </row>
    <row r="111" spans="1:99" x14ac:dyDescent="0.3">
      <c r="A111" s="10" t="s">
        <v>191</v>
      </c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>
        <v>44.310722100656456</v>
      </c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>
        <v>44.310722100656456</v>
      </c>
    </row>
    <row r="112" spans="1:99" x14ac:dyDescent="0.3">
      <c r="A112" s="10" t="s">
        <v>192</v>
      </c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>
        <v>73</v>
      </c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>
        <v>73</v>
      </c>
    </row>
    <row r="113" spans="1:99" x14ac:dyDescent="0.3">
      <c r="A113" s="10" t="s">
        <v>193</v>
      </c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>
        <v>20</v>
      </c>
      <c r="CH113" s="11">
        <v>7</v>
      </c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>
        <v>27</v>
      </c>
    </row>
    <row r="114" spans="1:99" x14ac:dyDescent="0.3">
      <c r="A114" s="10" t="s">
        <v>194</v>
      </c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>
        <v>26</v>
      </c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>
        <v>26</v>
      </c>
    </row>
    <row r="115" spans="1:99" x14ac:dyDescent="0.3">
      <c r="A115" s="10" t="s">
        <v>195</v>
      </c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>
        <v>168</v>
      </c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>
        <v>168</v>
      </c>
    </row>
    <row r="116" spans="1:99" x14ac:dyDescent="0.3">
      <c r="A116" s="10" t="s">
        <v>196</v>
      </c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>
        <v>8</v>
      </c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>
        <v>100.77432712215321</v>
      </c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>
        <v>108.77432712215321</v>
      </c>
    </row>
    <row r="117" spans="1:99" x14ac:dyDescent="0.3">
      <c r="A117" s="10" t="s">
        <v>197</v>
      </c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>
        <v>9</v>
      </c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>
        <v>9</v>
      </c>
    </row>
    <row r="118" spans="1:99" x14ac:dyDescent="0.3">
      <c r="A118" s="10" t="s">
        <v>198</v>
      </c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>
        <v>22</v>
      </c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>
        <v>22</v>
      </c>
    </row>
    <row r="119" spans="1:99" x14ac:dyDescent="0.3">
      <c r="A119" s="10" t="s">
        <v>206</v>
      </c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>
        <v>15</v>
      </c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>
        <v>15</v>
      </c>
    </row>
    <row r="120" spans="1:99" x14ac:dyDescent="0.3">
      <c r="A120" s="10" t="s">
        <v>207</v>
      </c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>
        <v>50</v>
      </c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>
        <v>50</v>
      </c>
    </row>
    <row r="121" spans="1:99" x14ac:dyDescent="0.3">
      <c r="A121" s="10" t="s">
        <v>209</v>
      </c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>
        <v>410</v>
      </c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>
        <v>410</v>
      </c>
    </row>
    <row r="122" spans="1:99" x14ac:dyDescent="0.3">
      <c r="A122" s="10" t="s">
        <v>210</v>
      </c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>
        <v>60</v>
      </c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>
        <v>60</v>
      </c>
    </row>
    <row r="123" spans="1:99" x14ac:dyDescent="0.3">
      <c r="A123" s="10" t="s">
        <v>213</v>
      </c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>
        <v>590</v>
      </c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>
        <v>590</v>
      </c>
    </row>
    <row r="124" spans="1:99" x14ac:dyDescent="0.3">
      <c r="A124" s="10" t="s">
        <v>214</v>
      </c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>
        <v>18</v>
      </c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>
        <v>18</v>
      </c>
    </row>
    <row r="125" spans="1:99" x14ac:dyDescent="0.3">
      <c r="A125" s="10" t="s">
        <v>215</v>
      </c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>
        <v>65</v>
      </c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>
        <v>65</v>
      </c>
    </row>
    <row r="126" spans="1:99" x14ac:dyDescent="0.3">
      <c r="A126" s="10" t="s">
        <v>216</v>
      </c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>
        <v>14</v>
      </c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>
        <v>14</v>
      </c>
    </row>
    <row r="127" spans="1:99" x14ac:dyDescent="0.3">
      <c r="A127" s="10" t="s">
        <v>217</v>
      </c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>
        <v>6</v>
      </c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>
        <v>6</v>
      </c>
    </row>
    <row r="128" spans="1:99" x14ac:dyDescent="0.3">
      <c r="A128" s="10" t="s">
        <v>218</v>
      </c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>
        <v>6</v>
      </c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>
        <v>6</v>
      </c>
    </row>
    <row r="129" spans="1:99" x14ac:dyDescent="0.3">
      <c r="A129" s="10" t="s">
        <v>219</v>
      </c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>
        <v>6</v>
      </c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>
        <v>6</v>
      </c>
    </row>
    <row r="130" spans="1:99" x14ac:dyDescent="0.3">
      <c r="A130" s="10" t="s">
        <v>220</v>
      </c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>
        <v>16</v>
      </c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>
        <v>16</v>
      </c>
    </row>
    <row r="131" spans="1:99" x14ac:dyDescent="0.3">
      <c r="A131" s="10" t="s">
        <v>221</v>
      </c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>
        <v>2</v>
      </c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>
        <v>2</v>
      </c>
    </row>
    <row r="132" spans="1:99" x14ac:dyDescent="0.3">
      <c r="A132" s="10" t="s">
        <v>222</v>
      </c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>
        <v>14</v>
      </c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>
        <v>14</v>
      </c>
    </row>
    <row r="133" spans="1:99" x14ac:dyDescent="0.3">
      <c r="A133" s="10" t="s">
        <v>223</v>
      </c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>
        <v>6</v>
      </c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>
        <v>6</v>
      </c>
    </row>
    <row r="134" spans="1:99" x14ac:dyDescent="0.3">
      <c r="A134" s="10" t="s">
        <v>224</v>
      </c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>
        <v>45</v>
      </c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>
        <v>45</v>
      </c>
    </row>
    <row r="135" spans="1:99" x14ac:dyDescent="0.3">
      <c r="A135" s="10" t="s">
        <v>225</v>
      </c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>
        <v>10</v>
      </c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>
        <v>10</v>
      </c>
    </row>
    <row r="136" spans="1:99" x14ac:dyDescent="0.3">
      <c r="A136" s="10" t="s">
        <v>226</v>
      </c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>
        <v>9</v>
      </c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>
        <v>9</v>
      </c>
    </row>
    <row r="137" spans="1:99" x14ac:dyDescent="0.3">
      <c r="A137" s="10" t="s">
        <v>227</v>
      </c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>
        <v>102.76008492569002</v>
      </c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>
        <v>102.76008492569002</v>
      </c>
    </row>
    <row r="138" spans="1:99" x14ac:dyDescent="0.3">
      <c r="A138" s="10" t="s">
        <v>228</v>
      </c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>
        <v>133.59893758300134</v>
      </c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>
        <v>133.59893758300134</v>
      </c>
    </row>
    <row r="139" spans="1:99" x14ac:dyDescent="0.3">
      <c r="A139" s="10" t="s">
        <v>229</v>
      </c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>
        <v>20</v>
      </c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>
        <v>20</v>
      </c>
    </row>
    <row r="140" spans="1:99" x14ac:dyDescent="0.3">
      <c r="A140" s="10" t="s">
        <v>230</v>
      </c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>
        <v>6</v>
      </c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>
        <v>6</v>
      </c>
    </row>
    <row r="141" spans="1:99" x14ac:dyDescent="0.3">
      <c r="A141" s="10" t="s">
        <v>231</v>
      </c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>
        <v>333.33333333333331</v>
      </c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>
        <v>333.33333333333331</v>
      </c>
    </row>
    <row r="142" spans="1:99" x14ac:dyDescent="0.3">
      <c r="A142" s="10" t="s">
        <v>233</v>
      </c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>
        <v>119.23937360178972</v>
      </c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>
        <v>119.23937360178972</v>
      </c>
    </row>
    <row r="143" spans="1:99" x14ac:dyDescent="0.3">
      <c r="A143" s="10" t="s">
        <v>236</v>
      </c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>
        <v>103</v>
      </c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>
        <v>103</v>
      </c>
    </row>
    <row r="144" spans="1:99" x14ac:dyDescent="0.3">
      <c r="A144" s="10" t="s">
        <v>237</v>
      </c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>
        <v>60</v>
      </c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>
        <v>60</v>
      </c>
    </row>
    <row r="145" spans="1:99" x14ac:dyDescent="0.3">
      <c r="A145" s="10" t="s">
        <v>170</v>
      </c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>
        <v>0</v>
      </c>
      <c r="CS145" s="11"/>
      <c r="CT145" s="11"/>
      <c r="CU145" s="11">
        <v>0</v>
      </c>
    </row>
    <row r="146" spans="1:99" x14ac:dyDescent="0.3">
      <c r="A146" s="10" t="s">
        <v>169</v>
      </c>
      <c r="B146" s="11">
        <v>1</v>
      </c>
      <c r="C146" s="11">
        <v>8</v>
      </c>
      <c r="D146" s="11">
        <v>3</v>
      </c>
      <c r="E146" s="11">
        <v>6</v>
      </c>
      <c r="F146" s="11">
        <v>3</v>
      </c>
      <c r="G146" s="11">
        <v>4</v>
      </c>
      <c r="H146" s="11">
        <v>6</v>
      </c>
      <c r="I146" s="11">
        <v>6</v>
      </c>
      <c r="J146" s="11">
        <v>3</v>
      </c>
      <c r="K146" s="11">
        <v>12</v>
      </c>
      <c r="L146" s="11">
        <v>11</v>
      </c>
      <c r="M146" s="11">
        <v>15</v>
      </c>
      <c r="N146" s="11">
        <v>4</v>
      </c>
      <c r="O146" s="11">
        <v>26</v>
      </c>
      <c r="P146" s="11">
        <v>12</v>
      </c>
      <c r="Q146" s="11">
        <v>3</v>
      </c>
      <c r="R146" s="11">
        <v>8</v>
      </c>
      <c r="S146" s="11">
        <v>23</v>
      </c>
      <c r="T146" s="11">
        <v>13</v>
      </c>
      <c r="U146" s="11">
        <v>1</v>
      </c>
      <c r="V146" s="11">
        <v>19</v>
      </c>
      <c r="W146" s="11">
        <v>19</v>
      </c>
      <c r="X146" s="11">
        <v>10</v>
      </c>
      <c r="Y146" s="11">
        <v>5</v>
      </c>
      <c r="Z146" s="11">
        <v>2</v>
      </c>
      <c r="AA146" s="11">
        <v>7</v>
      </c>
      <c r="AB146" s="11">
        <v>3</v>
      </c>
      <c r="AC146" s="11">
        <v>2</v>
      </c>
      <c r="AD146" s="11">
        <v>3</v>
      </c>
      <c r="AE146" s="11">
        <v>6</v>
      </c>
      <c r="AF146" s="11">
        <v>1</v>
      </c>
      <c r="AG146" s="11">
        <v>1</v>
      </c>
      <c r="AH146" s="11">
        <v>2</v>
      </c>
      <c r="AI146" s="11">
        <v>6</v>
      </c>
      <c r="AJ146" s="11">
        <v>14</v>
      </c>
      <c r="AK146" s="11">
        <v>2</v>
      </c>
      <c r="AL146" s="11">
        <v>1</v>
      </c>
      <c r="AM146" s="11">
        <v>7</v>
      </c>
      <c r="AN146" s="11">
        <v>8</v>
      </c>
      <c r="AO146" s="11">
        <v>2</v>
      </c>
      <c r="AP146" s="11">
        <v>5</v>
      </c>
      <c r="AQ146" s="11">
        <v>5</v>
      </c>
      <c r="AR146" s="11">
        <v>17</v>
      </c>
      <c r="AS146" s="11">
        <v>2</v>
      </c>
      <c r="AT146" s="11">
        <v>4</v>
      </c>
      <c r="AU146" s="11">
        <v>1</v>
      </c>
      <c r="AV146" s="11">
        <v>10</v>
      </c>
      <c r="AW146" s="11">
        <v>1</v>
      </c>
      <c r="AX146" s="11">
        <v>3</v>
      </c>
      <c r="AY146" s="11">
        <v>20</v>
      </c>
      <c r="AZ146" s="11">
        <v>1</v>
      </c>
      <c r="BA146" s="11">
        <v>1</v>
      </c>
      <c r="BB146" s="11">
        <v>3001.9317294438147</v>
      </c>
      <c r="BC146" s="11">
        <v>3</v>
      </c>
      <c r="BD146" s="11">
        <v>3</v>
      </c>
      <c r="BE146" s="11">
        <v>2</v>
      </c>
      <c r="BF146" s="11">
        <v>1</v>
      </c>
      <c r="BG146" s="11">
        <v>1</v>
      </c>
      <c r="BH146" s="11">
        <v>2</v>
      </c>
      <c r="BI146" s="11">
        <v>1</v>
      </c>
      <c r="BJ146" s="11">
        <v>2</v>
      </c>
      <c r="BK146" s="11">
        <v>31</v>
      </c>
      <c r="BL146" s="11">
        <v>3</v>
      </c>
      <c r="BM146" s="11">
        <v>1</v>
      </c>
      <c r="BN146" s="11">
        <v>2</v>
      </c>
      <c r="BO146" s="11">
        <v>6</v>
      </c>
      <c r="BP146" s="11">
        <v>1</v>
      </c>
      <c r="BQ146" s="11">
        <v>1</v>
      </c>
      <c r="BR146" s="11">
        <v>10</v>
      </c>
      <c r="BS146" s="11">
        <v>1</v>
      </c>
      <c r="BT146" s="11">
        <v>240</v>
      </c>
      <c r="BU146" s="11">
        <v>13</v>
      </c>
      <c r="BV146" s="11">
        <v>44</v>
      </c>
      <c r="BW146" s="11">
        <v>2</v>
      </c>
      <c r="BX146" s="11">
        <v>21</v>
      </c>
      <c r="BY146" s="11">
        <v>0</v>
      </c>
      <c r="BZ146" s="11">
        <v>11</v>
      </c>
      <c r="CA146" s="11">
        <v>56</v>
      </c>
      <c r="CB146" s="11">
        <v>0</v>
      </c>
      <c r="CC146" s="11">
        <v>5</v>
      </c>
      <c r="CD146" s="11">
        <v>0</v>
      </c>
      <c r="CE146" s="11">
        <v>3</v>
      </c>
      <c r="CF146" s="11">
        <v>1</v>
      </c>
      <c r="CG146" s="11">
        <v>738.44318598893801</v>
      </c>
      <c r="CH146" s="11">
        <v>506</v>
      </c>
      <c r="CI146" s="11">
        <v>8</v>
      </c>
      <c r="CJ146" s="11">
        <v>8</v>
      </c>
      <c r="CK146" s="11">
        <v>1</v>
      </c>
      <c r="CL146" s="11">
        <v>6</v>
      </c>
      <c r="CM146" s="11">
        <v>1</v>
      </c>
      <c r="CN146" s="11">
        <v>4</v>
      </c>
      <c r="CO146" s="11">
        <v>6</v>
      </c>
      <c r="CP146" s="11">
        <v>10</v>
      </c>
      <c r="CQ146" s="11">
        <v>242</v>
      </c>
      <c r="CR146" s="11">
        <v>248</v>
      </c>
      <c r="CS146" s="11">
        <v>81</v>
      </c>
      <c r="CT146" s="11">
        <v>1</v>
      </c>
      <c r="CU146" s="11">
        <v>5687.3749154327525</v>
      </c>
    </row>
  </sheetData>
  <pageMargins left="0.70866141732283472" right="0.70866141732283472" top="0.74803149606299213" bottom="0.74803149606299213" header="0.31496062992125984" footer="0.31496062992125984"/>
  <pageSetup paperSize="174" scale="92" fitToWidth="2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EEA10-3DC2-4396-8276-B6EDAB3DF8DF}">
  <sheetPr codeName="Foglio3">
    <tabColor rgb="FFFFFF00"/>
  </sheetPr>
  <dimension ref="B1:B8"/>
  <sheetViews>
    <sheetView workbookViewId="0">
      <selection activeCell="E6" sqref="E6"/>
    </sheetView>
  </sheetViews>
  <sheetFormatPr defaultRowHeight="14.4" x14ac:dyDescent="0.3"/>
  <cols>
    <col min="2" max="2" width="56.33203125" bestFit="1" customWidth="1"/>
  </cols>
  <sheetData>
    <row r="1" spans="2:2" x14ac:dyDescent="0.3">
      <c r="B1" s="31" t="s">
        <v>241</v>
      </c>
    </row>
    <row r="3" spans="2:2" x14ac:dyDescent="0.3">
      <c r="B3" s="28" t="s">
        <v>238</v>
      </c>
    </row>
    <row r="6" spans="2:2" x14ac:dyDescent="0.3">
      <c r="B6" s="28" t="s">
        <v>232</v>
      </c>
    </row>
    <row r="8" spans="2:2" ht="129.6" x14ac:dyDescent="0.3">
      <c r="B8" s="30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2</vt:i4>
      </vt:variant>
    </vt:vector>
  </HeadingPairs>
  <TitlesOfParts>
    <vt:vector size="5" baseType="lpstr">
      <vt:lpstr>Inventario 8_5_26</vt:lpstr>
      <vt:lpstr>PIVOT</vt:lpstr>
      <vt:lpstr>NOTE</vt:lpstr>
      <vt:lpstr>PIVOT!Area_stampa</vt:lpstr>
      <vt:lpstr>PIVOT!Titoli_stampa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Giuliano</dc:creator>
  <cp:lastModifiedBy>Nicola Giuliano</cp:lastModifiedBy>
  <cp:lastPrinted>2026-05-11T12:45:02Z</cp:lastPrinted>
  <dcterms:created xsi:type="dcterms:W3CDTF">2026-05-08T09:12:49Z</dcterms:created>
  <dcterms:modified xsi:type="dcterms:W3CDTF">2026-05-22T09:56:31Z</dcterms:modified>
</cp:coreProperties>
</file>